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64E87FFB-3382-B148-83D0-B66310E3166D}" xr6:coauthVersionLast="47" xr6:coauthVersionMax="47" xr10:uidLastSave="{00000000-0000-0000-0000-000000000000}"/>
  <bookViews>
    <workbookView xWindow="4800" yWindow="2480" windowWidth="25380" windowHeight="15600" xr2:uid="{975EE5A9-D02E-564E-A719-162CF0E3A1AF}"/>
  </bookViews>
  <sheets>
    <sheet name="Лист1" sheetId="1" r:id="rId1"/>
  </sheets>
  <functionGroups builtInGroupCount="19"/>
  <definedNames>
    <definedName name="_xlnm._FilterDatabase" localSheetId="0" hidden="1">Лист1!$A$3:$V$757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1" l="1" a="1"/>
  <c r="Q1" i="1" s="1"/>
  <c r="H3" i="1"/>
  <c r="J3" i="1"/>
  <c r="J4" i="1" a="1"/>
  <c r="J4" i="1" s="1"/>
  <c r="L756" i="1" a="1"/>
  <c r="L756" i="1" s="1"/>
  <c r="L754" i="1" a="1"/>
  <c r="L754" i="1" s="1"/>
  <c r="L753" i="1" a="1"/>
  <c r="L753" i="1" s="1"/>
  <c r="L752" i="1" a="1"/>
  <c r="L752" i="1" s="1"/>
  <c r="L748" i="1" a="1"/>
  <c r="L748" i="1" s="1"/>
  <c r="L747" i="1" a="1"/>
  <c r="L747" i="1" s="1"/>
  <c r="L746" i="1" a="1"/>
  <c r="L746" i="1" s="1"/>
  <c r="L745" i="1" a="1"/>
  <c r="L745" i="1" s="1"/>
  <c r="L744" i="1" a="1"/>
  <c r="L744" i="1" s="1"/>
  <c r="L743" i="1" a="1"/>
  <c r="L743" i="1" s="1"/>
  <c r="L742" i="1" a="1"/>
  <c r="L742" i="1" s="1"/>
  <c r="L741" i="1" a="1"/>
  <c r="L741" i="1" s="1"/>
  <c r="L732" i="1" a="1"/>
  <c r="L732" i="1" s="1"/>
  <c r="L730" i="1" a="1"/>
  <c r="L730" i="1" s="1"/>
  <c r="L729" i="1" a="1"/>
  <c r="L729" i="1" s="1"/>
  <c r="L728" i="1" a="1"/>
  <c r="L728" i="1" s="1"/>
  <c r="L727" i="1" a="1"/>
  <c r="L727" i="1" s="1"/>
  <c r="L726" i="1" a="1"/>
  <c r="L726" i="1" s="1"/>
  <c r="L720" i="1" a="1"/>
  <c r="L720" i="1" s="1"/>
  <c r="L718" i="1" a="1"/>
  <c r="L718" i="1" s="1"/>
  <c r="L717" i="1" a="1"/>
  <c r="L717" i="1" s="1"/>
  <c r="L716" i="1" a="1"/>
  <c r="L716" i="1" s="1"/>
  <c r="L715" i="1" a="1"/>
  <c r="L715" i="1" s="1"/>
  <c r="L714" i="1" a="1"/>
  <c r="L714" i="1" s="1"/>
  <c r="L713" i="1" a="1"/>
  <c r="L713" i="1" s="1"/>
  <c r="L712" i="1" a="1"/>
  <c r="L712" i="1" s="1"/>
  <c r="L711" i="1" a="1"/>
  <c r="L711" i="1" s="1"/>
  <c r="L702" i="1" a="1"/>
  <c r="L702" i="1" s="1"/>
  <c r="L700" i="1" a="1"/>
  <c r="L700" i="1" s="1"/>
  <c r="L699" i="1" a="1"/>
  <c r="L699" i="1" s="1"/>
  <c r="L698" i="1" a="1"/>
  <c r="L698" i="1" s="1"/>
  <c r="L697" i="1" a="1"/>
  <c r="L697" i="1" s="1"/>
  <c r="L696" i="1" a="1"/>
  <c r="L696" i="1" s="1"/>
  <c r="L695" i="1" a="1"/>
  <c r="L695" i="1" s="1"/>
  <c r="L694" i="1" a="1"/>
  <c r="L694" i="1" s="1"/>
  <c r="L693" i="1" a="1"/>
  <c r="L693" i="1" s="1"/>
  <c r="L692" i="1" a="1"/>
  <c r="L692" i="1" s="1"/>
  <c r="L691" i="1" a="1"/>
  <c r="L691" i="1" s="1"/>
  <c r="L680" i="1" a="1"/>
  <c r="L680" i="1" s="1"/>
  <c r="L679" i="1" a="1"/>
  <c r="L679" i="1" s="1"/>
  <c r="L678" i="1" a="1"/>
  <c r="L678" i="1" s="1"/>
  <c r="L677" i="1" a="1"/>
  <c r="L677" i="1" s="1"/>
  <c r="L676" i="1" a="1"/>
  <c r="L676" i="1" s="1"/>
  <c r="L675" i="1" a="1"/>
  <c r="L675" i="1" s="1"/>
  <c r="L668" i="1" a="1"/>
  <c r="L668" i="1" s="1"/>
  <c r="L667" i="1" a="1"/>
  <c r="L667" i="1" s="1"/>
  <c r="L666" i="1" a="1"/>
  <c r="L666" i="1" s="1"/>
  <c r="L665" i="1" a="1"/>
  <c r="L665" i="1" s="1"/>
  <c r="L664" i="1" a="1"/>
  <c r="L664" i="1" s="1"/>
  <c r="L658" i="1" a="1"/>
  <c r="L658" i="1" s="1"/>
  <c r="L657" i="1" a="1"/>
  <c r="L657" i="1" s="1"/>
  <c r="L656" i="1" a="1"/>
  <c r="L656" i="1" s="1"/>
  <c r="L655" i="1" a="1"/>
  <c r="L655" i="1" s="1"/>
  <c r="L654" i="1" a="1"/>
  <c r="L654" i="1" s="1"/>
  <c r="L653" i="1" a="1"/>
  <c r="L653" i="1" s="1"/>
  <c r="L652" i="1" a="1"/>
  <c r="L652" i="1" s="1"/>
  <c r="L651" i="1" a="1"/>
  <c r="L651" i="1" s="1"/>
  <c r="L642" i="1" a="1"/>
  <c r="L642" i="1" s="1"/>
  <c r="L641" i="1" a="1"/>
  <c r="L641" i="1" s="1"/>
  <c r="L640" i="1" a="1"/>
  <c r="L640" i="1" s="1"/>
  <c r="L636" i="1" a="1"/>
  <c r="L636" i="1" s="1"/>
  <c r="L635" i="1" a="1"/>
  <c r="L635" i="1" s="1"/>
  <c r="L632" i="1" a="1"/>
  <c r="L632" i="1" s="1"/>
  <c r="L631" i="1" a="1"/>
  <c r="L631" i="1" s="1"/>
  <c r="L628" i="1" a="1"/>
  <c r="L628" i="1" s="1"/>
  <c r="L627" i="1" a="1"/>
  <c r="L627" i="1" s="1"/>
  <c r="L626" i="1" a="1"/>
  <c r="L626" i="1" s="1"/>
  <c r="L625" i="1" a="1"/>
  <c r="L625" i="1" s="1"/>
  <c r="L620" i="1" a="1"/>
  <c r="L620" i="1" s="1"/>
  <c r="L619" i="1" a="1"/>
  <c r="L619" i="1" s="1"/>
  <c r="L616" i="1" a="1"/>
  <c r="L616" i="1" s="1"/>
  <c r="L615" i="1" a="1"/>
  <c r="L615" i="1" s="1"/>
  <c r="L612" i="1" a="1"/>
  <c r="L612" i="1" s="1"/>
  <c r="L611" i="1" a="1"/>
  <c r="L611" i="1" s="1"/>
  <c r="L610" i="1" a="1"/>
  <c r="L610" i="1" s="1"/>
  <c r="L606" i="1" a="1"/>
  <c r="L606" i="1" s="1"/>
  <c r="L605" i="1" a="1"/>
  <c r="L605" i="1" s="1"/>
  <c r="L604" i="1" a="1"/>
  <c r="L604" i="1" s="1"/>
  <c r="L603" i="1" a="1"/>
  <c r="L603" i="1" s="1"/>
  <c r="L596" i="1" a="1"/>
  <c r="L596" i="1" s="1"/>
  <c r="L595" i="1" a="1"/>
  <c r="L595" i="1" s="1"/>
  <c r="L594" i="1" a="1"/>
  <c r="L594" i="1" s="1"/>
  <c r="L593" i="1" a="1"/>
  <c r="L593" i="1" s="1"/>
  <c r="L588" i="1" a="1"/>
  <c r="L588" i="1" s="1"/>
  <c r="L587" i="1" a="1"/>
  <c r="L587" i="1" s="1"/>
  <c r="L586" i="1" a="1"/>
  <c r="L586" i="1" s="1"/>
  <c r="L582" i="1" a="1"/>
  <c r="L582" i="1" s="1"/>
  <c r="L580" i="1" a="1"/>
  <c r="L580" i="1" s="1"/>
  <c r="L579" i="1" a="1"/>
  <c r="L579" i="1" s="1"/>
  <c r="L578" i="1" a="1"/>
  <c r="L578" i="1" s="1"/>
  <c r="L574" i="1" a="1"/>
  <c r="L574" i="1" s="1"/>
  <c r="L573" i="1" a="1"/>
  <c r="L573" i="1" s="1"/>
  <c r="L572" i="1" a="1"/>
  <c r="L572" i="1" s="1"/>
  <c r="L568" i="1" a="1"/>
  <c r="L568" i="1" s="1"/>
  <c r="L567" i="1" a="1"/>
  <c r="L567" i="1" s="1"/>
  <c r="L564" i="1" a="1"/>
  <c r="L564" i="1" s="1"/>
  <c r="L563" i="1" a="1"/>
  <c r="L563" i="1" s="1"/>
  <c r="L562" i="1" a="1"/>
  <c r="L562" i="1" s="1"/>
  <c r="L561" i="1" a="1"/>
  <c r="L561" i="1" s="1"/>
  <c r="L560" i="1" a="1"/>
  <c r="L560" i="1" s="1"/>
  <c r="L559" i="1" a="1"/>
  <c r="L559" i="1" s="1"/>
  <c r="L552" i="1" a="1"/>
  <c r="L552" i="1" s="1"/>
  <c r="L550" i="1" a="1"/>
  <c r="L550" i="1" s="1"/>
  <c r="L549" i="1" a="1"/>
  <c r="L549" i="1" s="1"/>
  <c r="L548" i="1" a="1"/>
  <c r="L548" i="1" s="1"/>
  <c r="L544" i="1" a="1"/>
  <c r="L544" i="1" s="1"/>
  <c r="L543" i="1" a="1"/>
  <c r="L543" i="1" s="1"/>
  <c r="L542" i="1" a="1"/>
  <c r="L542" i="1" s="1"/>
  <c r="L538" i="1" a="1"/>
  <c r="L538" i="1" s="1"/>
  <c r="L537" i="1" a="1"/>
  <c r="L537" i="1" s="1"/>
  <c r="L536" i="1" a="1"/>
  <c r="L536" i="1" s="1"/>
  <c r="L535" i="1" a="1"/>
  <c r="L535" i="1" s="1"/>
  <c r="L534" i="1" a="1"/>
  <c r="L534" i="1" s="1"/>
  <c r="L529" i="1" a="1"/>
  <c r="L529" i="1" s="1"/>
  <c r="L528" i="1" a="1"/>
  <c r="L528" i="1" s="1"/>
  <c r="L525" i="1" a="1"/>
  <c r="L525" i="1" s="1"/>
  <c r="L524" i="1" a="1"/>
  <c r="L524" i="1" s="1"/>
  <c r="L521" i="1" a="1"/>
  <c r="L521" i="1" s="1"/>
  <c r="L520" i="1" a="1"/>
  <c r="L520" i="1" s="1"/>
  <c r="L519" i="1" a="1"/>
  <c r="L519" i="1" s="1"/>
  <c r="L515" i="1" a="1"/>
  <c r="L515" i="1" s="1"/>
  <c r="L514" i="1" a="1"/>
  <c r="L514" i="1" s="1"/>
  <c r="L513" i="1" a="1"/>
  <c r="L513" i="1" s="1"/>
  <c r="L509" i="1" a="1"/>
  <c r="L509" i="1" s="1"/>
  <c r="L505" i="1" a="1"/>
  <c r="L505" i="1" s="1"/>
  <c r="L504" i="1" a="1"/>
  <c r="L504" i="1" s="1"/>
  <c r="L501" i="1" a="1"/>
  <c r="L501" i="1" s="1"/>
  <c r="L500" i="1" a="1"/>
  <c r="L500" i="1" s="1"/>
  <c r="L499" i="1" a="1"/>
  <c r="L499" i="1" s="1"/>
  <c r="L495" i="1" a="1"/>
  <c r="L495" i="1" s="1"/>
  <c r="L494" i="1" a="1"/>
  <c r="L494" i="1" s="1"/>
  <c r="L493" i="1" a="1"/>
  <c r="L493" i="1" s="1"/>
  <c r="L489" i="1" a="1"/>
  <c r="L489" i="1" s="1"/>
  <c r="L488" i="1" a="1"/>
  <c r="L488" i="1" s="1"/>
  <c r="L485" i="1" a="1"/>
  <c r="L485" i="1" s="1"/>
  <c r="L484" i="1" a="1"/>
  <c r="L484" i="1" s="1"/>
  <c r="L483" i="1" a="1"/>
  <c r="L483" i="1" s="1"/>
  <c r="L482" i="1" a="1"/>
  <c r="L482" i="1" s="1"/>
  <c r="L481" i="1" a="1"/>
  <c r="L481" i="1" s="1"/>
  <c r="L475" i="1" a="1"/>
  <c r="L475" i="1" s="1"/>
  <c r="L474" i="1" a="1"/>
  <c r="L474" i="1" s="1"/>
  <c r="L473" i="1" a="1"/>
  <c r="L473" i="1" s="1"/>
  <c r="L469" i="1" a="1"/>
  <c r="L469" i="1" s="1"/>
  <c r="L467" i="1" a="1"/>
  <c r="L467" i="1" s="1"/>
  <c r="L465" i="1" a="1"/>
  <c r="L465" i="1" s="1"/>
  <c r="L464" i="1" a="1"/>
  <c r="L464" i="1" s="1"/>
  <c r="L461" i="1" a="1"/>
  <c r="L461" i="1" s="1"/>
  <c r="L460" i="1" a="1"/>
  <c r="L460" i="1" s="1"/>
  <c r="L457" i="1" a="1"/>
  <c r="L457" i="1" s="1"/>
  <c r="L456" i="1" a="1"/>
  <c r="L456" i="1" s="1"/>
  <c r="L451" i="1" a="1"/>
  <c r="L451" i="1" s="1"/>
  <c r="L450" i="1" a="1"/>
  <c r="L450" i="1" s="1"/>
  <c r="L447" i="1" a="1"/>
  <c r="L447" i="1" s="1"/>
  <c r="L446" i="1" a="1"/>
  <c r="L446" i="1" s="1"/>
  <c r="L443" i="1" a="1"/>
  <c r="L443" i="1" s="1"/>
  <c r="L442" i="1" a="1"/>
  <c r="L442" i="1" s="1"/>
  <c r="L441" i="1" a="1"/>
  <c r="L441" i="1" s="1"/>
  <c r="L437" i="1" a="1"/>
  <c r="L437" i="1" s="1"/>
  <c r="L435" i="1" a="1"/>
  <c r="L435" i="1" s="1"/>
  <c r="L434" i="1" a="1"/>
  <c r="L434" i="1" s="1"/>
  <c r="L431" i="1" a="1"/>
  <c r="L431" i="1" s="1"/>
  <c r="L430" i="1" a="1"/>
  <c r="L430" i="1" s="1"/>
  <c r="L429" i="1" a="1"/>
  <c r="L429" i="1" s="1"/>
  <c r="L425" i="1" a="1"/>
  <c r="L425" i="1" s="1"/>
  <c r="L424" i="1" a="1"/>
  <c r="L424" i="1" s="1"/>
  <c r="L423" i="1" a="1"/>
  <c r="L423" i="1" s="1"/>
  <c r="L422" i="1" a="1"/>
  <c r="L422" i="1" s="1"/>
  <c r="L419" i="1" a="1"/>
  <c r="L419" i="1" s="1"/>
  <c r="L418" i="1" a="1"/>
  <c r="L418" i="1" s="1"/>
  <c r="L415" i="1" a="1"/>
  <c r="L415" i="1" s="1"/>
  <c r="L414" i="1" a="1"/>
  <c r="L414" i="1" s="1"/>
  <c r="L413" i="1" a="1"/>
  <c r="L413" i="1" s="1"/>
  <c r="L409" i="1" a="1"/>
  <c r="L409" i="1" s="1"/>
  <c r="L405" i="1" a="1"/>
  <c r="L405" i="1" s="1"/>
  <c r="L404" i="1" a="1"/>
  <c r="L404" i="1" s="1"/>
  <c r="L401" i="1" a="1"/>
  <c r="L401" i="1" s="1"/>
  <c r="L400" i="1" a="1"/>
  <c r="L400" i="1" s="1"/>
  <c r="L399" i="1" a="1"/>
  <c r="L399" i="1" s="1"/>
  <c r="L398" i="1" a="1"/>
  <c r="L398" i="1" s="1"/>
  <c r="L393" i="1" a="1"/>
  <c r="L393" i="1" s="1"/>
  <c r="L391" i="1" a="1"/>
  <c r="L391" i="1" s="1"/>
  <c r="L389" i="1" a="1"/>
  <c r="L389" i="1" s="1"/>
  <c r="L388" i="1" a="1"/>
  <c r="L388" i="1" s="1"/>
  <c r="L385" i="1" a="1"/>
  <c r="L385" i="1" s="1"/>
  <c r="L384" i="1" a="1"/>
  <c r="L384" i="1" s="1"/>
  <c r="L381" i="1" a="1"/>
  <c r="L381" i="1" s="1"/>
  <c r="L380" i="1" a="1"/>
  <c r="L380" i="1" s="1"/>
  <c r="L378" i="1" a="1"/>
  <c r="L378" i="1" s="1"/>
  <c r="L377" i="1" a="1"/>
  <c r="L377" i="1" s="1"/>
  <c r="L374" i="1" a="1"/>
  <c r="L374" i="1" s="1"/>
  <c r="L372" i="1" a="1"/>
  <c r="L372" i="1" s="1"/>
  <c r="L371" i="1" a="1"/>
  <c r="L371" i="1" s="1"/>
  <c r="L368" i="1" a="1"/>
  <c r="L368" i="1" s="1"/>
  <c r="L366" i="1" a="1"/>
  <c r="L366" i="1" s="1"/>
  <c r="L365" i="1" a="1"/>
  <c r="L365" i="1" s="1"/>
  <c r="L360" i="1" a="1"/>
  <c r="L360" i="1" s="1"/>
  <c r="L358" i="1" a="1"/>
  <c r="L358" i="1" s="1"/>
  <c r="L356" i="1" a="1"/>
  <c r="L356" i="1" s="1"/>
  <c r="L355" i="1" a="1"/>
  <c r="L355" i="1" s="1"/>
  <c r="L352" i="1" a="1"/>
  <c r="L352" i="1" s="1"/>
  <c r="L351" i="1" a="1"/>
  <c r="L351" i="1" s="1"/>
  <c r="L348" i="1" a="1"/>
  <c r="L348" i="1" s="1"/>
  <c r="L346" i="1" a="1"/>
  <c r="L346" i="1" s="1"/>
  <c r="L345" i="1" a="1"/>
  <c r="L345" i="1" s="1"/>
  <c r="L342" i="1" a="1"/>
  <c r="L342" i="1" s="1"/>
  <c r="L341" i="1" a="1"/>
  <c r="L341" i="1" s="1"/>
  <c r="L338" i="1" a="1"/>
  <c r="L338" i="1" s="1"/>
  <c r="L336" i="1" a="1"/>
  <c r="L336" i="1" s="1"/>
  <c r="L335" i="1" a="1"/>
  <c r="L335" i="1" s="1"/>
  <c r="L332" i="1" a="1"/>
  <c r="L332" i="1" s="1"/>
  <c r="L331" i="1" a="1"/>
  <c r="L331" i="1" s="1"/>
  <c r="L330" i="1" a="1"/>
  <c r="L330" i="1" s="1"/>
  <c r="L328" i="1" a="1"/>
  <c r="L328" i="1" s="1"/>
  <c r="L327" i="1" a="1"/>
  <c r="L327" i="1" s="1"/>
  <c r="L326" i="1" a="1"/>
  <c r="L326" i="1" s="1"/>
  <c r="L325" i="1" a="1"/>
  <c r="L325" i="1" s="1"/>
  <c r="L324" i="1" a="1"/>
  <c r="L324" i="1" s="1"/>
  <c r="L323" i="1" a="1"/>
  <c r="L323" i="1" s="1"/>
  <c r="L322" i="1" a="1"/>
  <c r="L322" i="1" s="1"/>
  <c r="L314" i="1" a="1"/>
  <c r="L314" i="1" s="1"/>
  <c r="L312" i="1" a="1"/>
  <c r="L312" i="1" s="1"/>
  <c r="L308" i="1" a="1"/>
  <c r="L308" i="1" s="1"/>
  <c r="L307" i="1" a="1"/>
  <c r="L307" i="1" s="1"/>
  <c r="L306" i="1" a="1"/>
  <c r="L306" i="1" s="1"/>
  <c r="L305" i="1" a="1"/>
  <c r="L305" i="1" s="1"/>
  <c r="L304" i="1" a="1"/>
  <c r="L304" i="1" s="1"/>
  <c r="L298" i="1" a="1"/>
  <c r="L298" i="1" s="1"/>
  <c r="L296" i="1" a="1"/>
  <c r="L296" i="1" s="1"/>
  <c r="L295" i="1" a="1"/>
  <c r="L295" i="1" s="1"/>
  <c r="L294" i="1" a="1"/>
  <c r="L294" i="1" s="1"/>
  <c r="L293" i="1" a="1"/>
  <c r="L293" i="1" s="1"/>
  <c r="L292" i="1" a="1"/>
  <c r="L292" i="1" s="1"/>
  <c r="L291" i="1" a="1"/>
  <c r="L291" i="1" s="1"/>
  <c r="L290" i="1" a="1"/>
  <c r="L290" i="1" s="1"/>
  <c r="L282" i="1" a="1"/>
  <c r="L282" i="1" s="1"/>
  <c r="L281" i="1" a="1"/>
  <c r="L281" i="1" s="1"/>
  <c r="L280" i="1" a="1"/>
  <c r="L280" i="1" s="1"/>
  <c r="L276" i="1" a="1"/>
  <c r="L276" i="1" s="1"/>
  <c r="L275" i="1" a="1"/>
  <c r="L275" i="1" s="1"/>
  <c r="L274" i="1" a="1"/>
  <c r="L274" i="1" s="1"/>
  <c r="L273" i="1" a="1"/>
  <c r="L273" i="1" s="1"/>
  <c r="L272" i="1" a="1"/>
  <c r="L272" i="1" s="1"/>
  <c r="L271" i="1" a="1"/>
  <c r="L271" i="1" s="1"/>
  <c r="L270" i="1" a="1"/>
  <c r="L270" i="1" s="1"/>
  <c r="L262" i="1" a="1"/>
  <c r="L262" i="1" s="1"/>
  <c r="L261" i="1" a="1"/>
  <c r="L261" i="1" s="1"/>
  <c r="L260" i="1" a="1"/>
  <c r="L260" i="1" s="1"/>
  <c r="L259" i="1" a="1"/>
  <c r="L259" i="1" s="1"/>
  <c r="L258" i="1" a="1"/>
  <c r="L258" i="1" s="1"/>
  <c r="L252" i="1" a="1"/>
  <c r="L252" i="1" s="1"/>
  <c r="L251" i="1" a="1"/>
  <c r="L251" i="1" s="1"/>
  <c r="L250" i="1" a="1"/>
  <c r="L250" i="1" s="1"/>
  <c r="L246" i="1" a="1"/>
  <c r="L246" i="1" s="1"/>
  <c r="L245" i="1" a="1"/>
  <c r="L245" i="1" s="1"/>
  <c r="L244" i="1" a="1"/>
  <c r="L244" i="1" s="1"/>
  <c r="L243" i="1" a="1"/>
  <c r="L243" i="1" s="1"/>
  <c r="L242" i="1" a="1"/>
  <c r="L242" i="1" s="1"/>
  <c r="L241" i="1" a="1"/>
  <c r="L241" i="1" s="1"/>
  <c r="L240" i="1" a="1"/>
  <c r="L240" i="1" s="1"/>
  <c r="L239" i="1" a="1"/>
  <c r="L239" i="1" s="1"/>
  <c r="L237" i="1" a="1"/>
  <c r="L237" i="1" s="1"/>
  <c r="L236" i="1" a="1"/>
  <c r="L236" i="1" s="1"/>
  <c r="L235" i="1" a="1"/>
  <c r="L235" i="1" s="1"/>
  <c r="L234" i="1" a="1"/>
  <c r="L234" i="1" s="1"/>
  <c r="L233" i="1" a="1"/>
  <c r="L233" i="1" s="1"/>
  <c r="L232" i="1" a="1"/>
  <c r="L232" i="1" s="1"/>
  <c r="L231" i="1" a="1"/>
  <c r="L231" i="1" s="1"/>
  <c r="L230" i="1" a="1"/>
  <c r="L230" i="1" s="1"/>
  <c r="L229" i="1" a="1"/>
  <c r="L229" i="1" s="1"/>
  <c r="L212" i="1" a="1"/>
  <c r="L212" i="1" s="1"/>
  <c r="L211" i="1" a="1"/>
  <c r="L211" i="1" s="1"/>
  <c r="L208" i="1" a="1"/>
  <c r="L208" i="1" s="1"/>
  <c r="L207" i="1" a="1"/>
  <c r="L207" i="1" s="1"/>
  <c r="L206" i="1" a="1"/>
  <c r="L206" i="1" s="1"/>
  <c r="L205" i="1" a="1"/>
  <c r="L205" i="1" s="1"/>
  <c r="L204" i="1" a="1"/>
  <c r="L204" i="1" s="1"/>
  <c r="L203" i="1" a="1"/>
  <c r="L203" i="1" s="1"/>
  <c r="L202" i="1" a="1"/>
  <c r="L202" i="1" s="1"/>
  <c r="L201" i="1" a="1"/>
  <c r="L201" i="1" s="1"/>
  <c r="L200" i="1" a="1"/>
  <c r="L200" i="1" s="1"/>
  <c r="L199" i="1" a="1"/>
  <c r="L199" i="1" s="1"/>
  <c r="L198" i="1" a="1"/>
  <c r="L198" i="1" s="1"/>
  <c r="L186" i="1" a="1"/>
  <c r="L186" i="1" s="1"/>
  <c r="L185" i="1" a="1"/>
  <c r="L185" i="1" s="1"/>
  <c r="L184" i="1" a="1"/>
  <c r="L184" i="1" s="1"/>
  <c r="L180" i="1" a="1"/>
  <c r="L180" i="1" s="1"/>
  <c r="L179" i="1" a="1"/>
  <c r="L179" i="1" s="1"/>
  <c r="L176" i="1" a="1"/>
  <c r="L176" i="1" s="1"/>
  <c r="L174" i="1" a="1"/>
  <c r="L174" i="1" s="1"/>
  <c r="L173" i="1" a="1"/>
  <c r="L173" i="1" s="1"/>
  <c r="L172" i="1" a="1"/>
  <c r="L172" i="1" s="1"/>
  <c r="L171" i="1" a="1"/>
  <c r="L171" i="1" s="1"/>
  <c r="L170" i="1" a="1"/>
  <c r="L170" i="1" s="1"/>
  <c r="L164" i="1" a="1"/>
  <c r="L164" i="1" s="1"/>
  <c r="L162" i="1" a="1"/>
  <c r="L162" i="1" s="1"/>
  <c r="L161" i="1" a="1"/>
  <c r="L161" i="1" s="1"/>
  <c r="L160" i="1" a="1"/>
  <c r="L160" i="1" s="1"/>
  <c r="L159" i="1" a="1"/>
  <c r="L159" i="1" s="1"/>
  <c r="L158" i="1" a="1"/>
  <c r="L158" i="1" s="1"/>
  <c r="L157" i="1" a="1"/>
  <c r="L157" i="1" s="1"/>
  <c r="L154" i="1" a="1"/>
  <c r="L154" i="1" s="1"/>
  <c r="L153" i="1" a="1"/>
  <c r="L153" i="1" s="1"/>
  <c r="L152" i="1" a="1"/>
  <c r="L152" i="1" s="1"/>
  <c r="L151" i="1" a="1"/>
  <c r="L151" i="1" s="1"/>
  <c r="J5" i="1" a="1"/>
  <c r="J5" i="1" s="1"/>
  <c r="M4" i="1" a="1"/>
  <c r="M4" i="1" s="1"/>
  <c r="K4" i="1" a="1"/>
  <c r="K4" i="1" s="1"/>
  <c r="L150" i="1" a="1"/>
  <c r="L150" i="1" s="1"/>
  <c r="L148" i="1" a="1"/>
  <c r="L148" i="1" s="1"/>
  <c r="L147" i="1" a="1"/>
  <c r="L147" i="1" s="1"/>
  <c r="L136" i="1" a="1"/>
  <c r="L136" i="1" s="1"/>
  <c r="L134" i="1" a="1"/>
  <c r="L134" i="1" s="1"/>
  <c r="L133" i="1" a="1"/>
  <c r="L133" i="1" s="1"/>
  <c r="L132" i="1" a="1"/>
  <c r="L132" i="1" s="1"/>
  <c r="L131" i="1" a="1"/>
  <c r="L131" i="1" s="1"/>
  <c r="L130" i="1" a="1"/>
  <c r="L130" i="1" s="1"/>
  <c r="L129" i="1" a="1"/>
  <c r="L129" i="1" s="1"/>
  <c r="L128" i="1" a="1"/>
  <c r="L128" i="1" s="1"/>
  <c r="L127" i="1" a="1"/>
  <c r="L127" i="1" s="1"/>
  <c r="L126" i="1" a="1"/>
  <c r="L126" i="1" s="1"/>
  <c r="L125" i="1" a="1"/>
  <c r="L125" i="1" s="1"/>
  <c r="L114" i="1" a="1"/>
  <c r="L114" i="1" s="1"/>
  <c r="L113" i="1" a="1"/>
  <c r="L113" i="1" s="1"/>
  <c r="L112" i="1" a="1"/>
  <c r="L112" i="1" s="1"/>
  <c r="L108" i="1" a="1"/>
  <c r="L108" i="1" s="1"/>
  <c r="L106" i="1" a="1"/>
  <c r="L106" i="1" s="1"/>
  <c r="L105" i="1" a="1"/>
  <c r="L105" i="1" s="1"/>
  <c r="L104" i="1" a="1"/>
  <c r="L104" i="1" s="1"/>
  <c r="L103" i="1" a="1"/>
  <c r="L103" i="1" s="1"/>
  <c r="L102" i="1" a="1"/>
  <c r="L102" i="1" s="1"/>
  <c r="L96" i="1" a="1"/>
  <c r="L96" i="1" s="1"/>
  <c r="L95" i="1" a="1"/>
  <c r="L95" i="1" s="1"/>
  <c r="L94" i="1" a="1"/>
  <c r="L94" i="1" s="1"/>
  <c r="L93" i="1" a="1"/>
  <c r="L93" i="1" s="1"/>
  <c r="L88" i="1" a="1"/>
  <c r="L88" i="1" s="1"/>
  <c r="L87" i="1" a="1"/>
  <c r="L87" i="1" s="1"/>
  <c r="L84" i="1" a="1"/>
  <c r="L84" i="1" s="1"/>
  <c r="L83" i="1" a="1"/>
  <c r="L83" i="1" s="1"/>
  <c r="L82" i="1" a="1"/>
  <c r="L82" i="1" s="1"/>
  <c r="L78" i="1" a="1"/>
  <c r="L78" i="1" s="1"/>
  <c r="L76" i="1" a="1"/>
  <c r="L76" i="1" s="1"/>
  <c r="L75" i="1" a="1"/>
  <c r="L75" i="1" s="1"/>
  <c r="L74" i="1" a="1"/>
  <c r="L74" i="1" s="1"/>
  <c r="L73" i="1" a="1"/>
  <c r="L73" i="1" s="1"/>
  <c r="L68" i="1" a="1"/>
  <c r="L68" i="1" s="1"/>
  <c r="L67" i="1" a="1"/>
  <c r="L67" i="1" s="1"/>
  <c r="L64" i="1" a="1"/>
  <c r="L64" i="1" s="1"/>
  <c r="L62" i="1" a="1"/>
  <c r="L62" i="1" s="1"/>
  <c r="L60" i="1" a="1"/>
  <c r="L60" i="1" s="1"/>
  <c r="L59" i="1" a="1"/>
  <c r="L59" i="1" s="1"/>
  <c r="L57" i="1" a="1"/>
  <c r="L57" i="1" s="1"/>
  <c r="L54" i="1" a="1"/>
  <c r="L54" i="1" s="1"/>
  <c r="L52" i="1" a="1"/>
  <c r="L52" i="1" s="1"/>
  <c r="L51" i="1" a="1"/>
  <c r="L51" i="1" s="1"/>
  <c r="L50" i="1" a="1"/>
  <c r="L50" i="1" s="1"/>
  <c r="L46" i="1" a="1"/>
  <c r="L46" i="1" s="1"/>
  <c r="L45" i="1" a="1"/>
  <c r="L45" i="1" s="1"/>
  <c r="L44" i="1" a="1"/>
  <c r="L44" i="1" s="1"/>
  <c r="L43" i="1" a="1"/>
  <c r="L43" i="1" s="1"/>
  <c r="L42" i="1" a="1"/>
  <c r="L42" i="1" s="1"/>
  <c r="L41" i="1" a="1"/>
  <c r="L41" i="1" s="1"/>
  <c r="L40" i="1" a="1"/>
  <c r="L40" i="1" s="1"/>
  <c r="L39" i="1" a="1"/>
  <c r="L39" i="1" s="1"/>
  <c r="L37" i="1" a="1"/>
  <c r="L37" i="1" s="1"/>
  <c r="L36" i="1" a="1"/>
  <c r="L36" i="1" s="1"/>
  <c r="L35" i="1" a="1"/>
  <c r="L35" i="1" s="1"/>
  <c r="L23" i="1" a="1"/>
  <c r="L23" i="1" s="1"/>
  <c r="L22" i="1" a="1"/>
  <c r="L22" i="1" s="1"/>
  <c r="L19" i="1" a="1"/>
  <c r="L19" i="1" s="1"/>
  <c r="L17" i="1" a="1"/>
  <c r="L17" i="1" s="1"/>
  <c r="L16" i="1" a="1"/>
  <c r="L16" i="1" s="1"/>
  <c r="L13" i="1" a="1"/>
  <c r="L13" i="1" s="1"/>
  <c r="L11" i="1" a="1"/>
  <c r="L11" i="1" s="1"/>
  <c r="K7" i="1" a="1"/>
  <c r="K7" i="1" s="1"/>
  <c r="K6" i="1" a="1"/>
  <c r="K6" i="1" s="1"/>
  <c r="M5" i="1" a="1"/>
  <c r="M5" i="1" s="1"/>
  <c r="K5" i="1" a="1"/>
  <c r="K5" i="1" s="1"/>
  <c r="M3" i="1"/>
  <c r="L3" i="1"/>
  <c r="K3" i="1"/>
  <c r="I3" i="1"/>
  <c r="I745" i="1" a="1"/>
  <c r="I744" i="1" a="1"/>
  <c r="I742" i="1" a="1"/>
  <c r="I741" i="1" a="1"/>
  <c r="I731" i="1" a="1"/>
  <c r="I720" i="1" a="1"/>
  <c r="I710" i="1" a="1"/>
  <c r="I709" i="1" a="1"/>
  <c r="I699" i="1" a="1"/>
  <c r="I757" i="1" a="1"/>
  <c r="I756" i="1" a="1"/>
  <c r="I725" i="1" a="1"/>
  <c r="I724" i="1" a="1"/>
  <c r="I723" i="1" a="1"/>
  <c r="I722" i="1" a="1"/>
  <c r="I697" i="1" a="1"/>
  <c r="I696" i="1" a="1"/>
  <c r="I695" i="1" a="1"/>
  <c r="I694" i="1" a="1"/>
  <c r="I692" i="1" a="1"/>
  <c r="I691" i="1" a="1"/>
  <c r="I690" i="1" a="1"/>
  <c r="I689" i="1" a="1"/>
  <c r="I679" i="1" a="1"/>
  <c r="I668" i="1" a="1"/>
  <c r="I658" i="1" a="1"/>
  <c r="I657" i="1" a="1"/>
  <c r="I647" i="1" a="1"/>
  <c r="I636" i="1" a="1"/>
  <c r="I626" i="1" a="1"/>
  <c r="I625" i="1" a="1"/>
  <c r="I615" i="1" a="1"/>
  <c r="I750" i="1" a="1"/>
  <c r="I729" i="1" a="1"/>
  <c r="I728" i="1" a="1"/>
  <c r="I727" i="1" a="1"/>
  <c r="I726" i="1" a="1"/>
  <c r="I698" i="1" a="1"/>
  <c r="I688" i="1" a="1"/>
  <c r="I678" i="1" a="1"/>
  <c r="I677" i="1" a="1"/>
  <c r="I667" i="1" a="1"/>
  <c r="I656" i="1" a="1"/>
  <c r="I751" i="1" a="1"/>
  <c r="I730" i="1" a="1"/>
  <c r="I705" i="1" a="1"/>
  <c r="I704" i="1" a="1"/>
  <c r="I703" i="1" a="1"/>
  <c r="I701" i="1" a="1"/>
  <c r="I700" i="1" a="1"/>
  <c r="I687" i="1" a="1"/>
  <c r="I676" i="1" a="1"/>
  <c r="I666" i="1" a="1"/>
  <c r="I665" i="1" a="1"/>
  <c r="I655" i="1" a="1"/>
  <c r="I755" i="1" a="1"/>
  <c r="I740" i="1" a="1"/>
  <c r="I735" i="1" a="1"/>
  <c r="I716" i="1" a="1"/>
  <c r="I712" i="1" a="1"/>
  <c r="I707" i="1" a="1"/>
  <c r="I675" i="1" a="1"/>
  <c r="I662" i="1" a="1"/>
  <c r="I649" i="1" a="1"/>
  <c r="I602" i="1" a="1"/>
  <c r="I601" i="1" a="1"/>
  <c r="I595" i="1" a="1"/>
  <c r="I591" i="1" a="1"/>
  <c r="I752" i="1" a="1"/>
  <c r="I743" i="1" a="1"/>
  <c r="I733" i="1" a="1"/>
  <c r="I702" i="1" a="1"/>
  <c r="I682" i="1" a="1"/>
  <c r="I672" i="1" a="1"/>
  <c r="I659" i="1" a="1"/>
  <c r="I629" i="1" a="1"/>
  <c r="I628" i="1" a="1"/>
  <c r="I627" i="1" a="1"/>
  <c r="I738" i="1" a="1"/>
  <c r="I748" i="1" a="1"/>
  <c r="I746" i="1" a="1"/>
  <c r="I736" i="1" a="1"/>
  <c r="I747" i="1" a="1"/>
  <c r="I732" i="1" a="1"/>
  <c r="I715" i="1" a="1"/>
  <c r="I693" i="1" a="1"/>
  <c r="I685" i="1" a="1"/>
  <c r="I683" i="1" a="1"/>
  <c r="I661" i="1" a="1"/>
  <c r="I654" i="1" a="1"/>
  <c r="I639" i="1" a="1"/>
  <c r="I617" i="1" a="1"/>
  <c r="I613" i="1" a="1"/>
  <c r="I589" i="1" a="1"/>
  <c r="I753" i="1" a="1"/>
  <c r="I713" i="1" a="1"/>
  <c r="I681" i="1" a="1"/>
  <c r="I680" i="1" a="1"/>
  <c r="I651" i="1" a="1"/>
  <c r="I648" i="1" a="1"/>
  <c r="I645" i="1" a="1"/>
  <c r="I633" i="1" a="1"/>
  <c r="I609" i="1" a="1"/>
  <c r="I600" i="1" a="1"/>
  <c r="I599" i="1" a="1"/>
  <c r="I598" i="1" a="1"/>
  <c r="I597" i="1" a="1"/>
  <c r="I584" i="1" a="1"/>
  <c r="I580" i="1" a="1"/>
  <c r="I576" i="1" a="1"/>
  <c r="I572" i="1" a="1"/>
  <c r="I568" i="1" a="1"/>
  <c r="I564" i="1" a="1"/>
  <c r="I560" i="1" a="1"/>
  <c r="I556" i="1" a="1"/>
  <c r="I552" i="1" a="1"/>
  <c r="I548" i="1" a="1"/>
  <c r="I739" i="1" a="1"/>
  <c r="I719" i="1" a="1"/>
  <c r="I717" i="1" a="1"/>
  <c r="I669" i="1" a="1"/>
  <c r="I650" i="1" a="1"/>
  <c r="I638" i="1" a="1"/>
  <c r="I635" i="1" a="1"/>
  <c r="I624" i="1" a="1"/>
  <c r="I611" i="1" a="1"/>
  <c r="I607" i="1" a="1"/>
  <c r="I592" i="1" a="1"/>
  <c r="I721" i="1" a="1"/>
  <c r="I711" i="1" a="1"/>
  <c r="I671" i="1" a="1"/>
  <c r="I646" i="1" a="1"/>
  <c r="I642" i="1" a="1"/>
  <c r="I632" i="1" a="1"/>
  <c r="I620" i="1" a="1"/>
  <c r="I605" i="1" a="1"/>
  <c r="I593" i="1" a="1"/>
  <c r="I590" i="1" a="1"/>
  <c r="I586" i="1" a="1"/>
  <c r="I551" i="1" a="1"/>
  <c r="I550" i="1" a="1"/>
  <c r="I546" i="1" a="1"/>
  <c r="I535" i="1" a="1"/>
  <c r="I525" i="1" a="1"/>
  <c r="I524" i="1" a="1"/>
  <c r="I514" i="1" a="1"/>
  <c r="I508" i="1" a="1"/>
  <c r="I504" i="1" a="1"/>
  <c r="I500" i="1" a="1"/>
  <c r="I718" i="1" a="1"/>
  <c r="I684" i="1" a="1"/>
  <c r="I634" i="1" a="1"/>
  <c r="I618" i="1" a="1"/>
  <c r="I616" i="1" a="1"/>
  <c r="I614" i="1" a="1"/>
  <c r="I612" i="1" a="1"/>
  <c r="I608" i="1" a="1"/>
  <c r="I594" i="1" a="1"/>
  <c r="I587" i="1" a="1"/>
  <c r="I582" i="1" a="1"/>
  <c r="I571" i="1" a="1"/>
  <c r="I570" i="1" a="1"/>
  <c r="I569" i="1" a="1"/>
  <c r="I549" i="1" a="1"/>
  <c r="I545" i="1" a="1"/>
  <c r="I544" i="1" a="1"/>
  <c r="I534" i="1" a="1"/>
  <c r="I523" i="1" a="1"/>
  <c r="I513" i="1" a="1"/>
  <c r="I512" i="1" a="1"/>
  <c r="I749" i="1" a="1"/>
  <c r="I653" i="1" a="1"/>
  <c r="I637" i="1" a="1"/>
  <c r="I604" i="1" a="1"/>
  <c r="I596" i="1" a="1"/>
  <c r="I563" i="1" a="1"/>
  <c r="I562" i="1" a="1"/>
  <c r="I708" i="1" a="1"/>
  <c r="I664" i="1" a="1"/>
  <c r="I641" i="1" a="1"/>
  <c r="I557" i="1" a="1"/>
  <c r="I555" i="1" a="1"/>
  <c r="I529" i="1" a="1"/>
  <c r="I517" i="1" a="1"/>
  <c r="I507" i="1" a="1"/>
  <c r="I499" i="1" a="1"/>
  <c r="I495" i="1" a="1"/>
  <c r="I491" i="1" a="1"/>
  <c r="I487" i="1" a="1"/>
  <c r="I483" i="1" a="1"/>
  <c r="I479" i="1" a="1"/>
  <c r="I475" i="1" a="1"/>
  <c r="I471" i="1" a="1"/>
  <c r="I467" i="1" a="1"/>
  <c r="I463" i="1" a="1"/>
  <c r="I459" i="1" a="1"/>
  <c r="I455" i="1" a="1"/>
  <c r="I451" i="1" a="1"/>
  <c r="I447" i="1" a="1"/>
  <c r="I443" i="1" a="1"/>
  <c r="I439" i="1" a="1"/>
  <c r="I435" i="1" a="1"/>
  <c r="I431" i="1" a="1"/>
  <c r="I427" i="1" a="1"/>
  <c r="I423" i="1" a="1"/>
  <c r="I419" i="1" a="1"/>
  <c r="I415" i="1" a="1"/>
  <c r="I411" i="1" a="1"/>
  <c r="I407" i="1" a="1"/>
  <c r="I403" i="1" a="1"/>
  <c r="I399" i="1" a="1"/>
  <c r="I395" i="1" a="1"/>
  <c r="I391" i="1" a="1"/>
  <c r="I643" i="1" a="1"/>
  <c r="I623" i="1" a="1"/>
  <c r="I603" i="1" a="1"/>
  <c r="I577" i="1" a="1"/>
  <c r="I575" i="1" a="1"/>
  <c r="I541" i="1" a="1"/>
  <c r="I530" i="1" a="1"/>
  <c r="I518" i="1" a="1"/>
  <c r="I506" i="1" a="1"/>
  <c r="I686" i="1" a="1"/>
  <c r="I670" i="1" a="1"/>
  <c r="I663" i="1" a="1"/>
  <c r="I583" i="1" a="1"/>
  <c r="I567" i="1" a="1"/>
  <c r="I553" i="1" a="1"/>
  <c r="I536" i="1" a="1"/>
  <c r="I531" i="1" a="1"/>
  <c r="I519" i="1" a="1"/>
  <c r="I498" i="1" a="1"/>
  <c r="I494" i="1" a="1"/>
  <c r="I490" i="1" a="1"/>
  <c r="I486" i="1" a="1"/>
  <c r="I482" i="1" a="1"/>
  <c r="I478" i="1" a="1"/>
  <c r="I474" i="1" a="1"/>
  <c r="I470" i="1" a="1"/>
  <c r="I466" i="1" a="1"/>
  <c r="I462" i="1" a="1"/>
  <c r="I458" i="1" a="1"/>
  <c r="I454" i="1" a="1"/>
  <c r="I450" i="1" a="1"/>
  <c r="I446" i="1" a="1"/>
  <c r="I442" i="1" a="1"/>
  <c r="I438" i="1" a="1"/>
  <c r="I434" i="1" a="1"/>
  <c r="I430" i="1" a="1"/>
  <c r="I426" i="1" a="1"/>
  <c r="I422" i="1" a="1"/>
  <c r="I418" i="1" a="1"/>
  <c r="I414" i="1" a="1"/>
  <c r="I410" i="1" a="1"/>
  <c r="I406" i="1" a="1"/>
  <c r="I402" i="1" a="1"/>
  <c r="I398" i="1" a="1"/>
  <c r="I754" i="1" a="1"/>
  <c r="I706" i="1" a="1"/>
  <c r="I652" i="1" a="1"/>
  <c r="I631" i="1" a="1"/>
  <c r="I622" i="1" a="1"/>
  <c r="I585" i="1" a="1"/>
  <c r="I561" i="1" a="1"/>
  <c r="I558" i="1" a="1"/>
  <c r="I542" i="1" a="1"/>
  <c r="I532" i="1" a="1"/>
  <c r="I520" i="1" a="1"/>
  <c r="I505" i="1" a="1"/>
  <c r="I579" i="1" a="1"/>
  <c r="I574" i="1" a="1"/>
  <c r="I559" i="1" a="1"/>
  <c r="I540" i="1" a="1"/>
  <c r="I527" i="1" a="1"/>
  <c r="I522" i="1" a="1"/>
  <c r="I516" i="1" a="1"/>
  <c r="I511" i="1" a="1"/>
  <c r="I510" i="1" a="1"/>
  <c r="I496" i="1" a="1"/>
  <c r="I492" i="1" a="1"/>
  <c r="I488" i="1" a="1"/>
  <c r="I484" i="1" a="1"/>
  <c r="I480" i="1" a="1"/>
  <c r="I606" i="1" a="1"/>
  <c r="I588" i="1" a="1"/>
  <c r="I573" i="1" a="1"/>
  <c r="I566" i="1" a="1"/>
  <c r="I538" i="1" a="1"/>
  <c r="I503" i="1" a="1"/>
  <c r="I493" i="1" a="1"/>
  <c r="I449" i="1" a="1"/>
  <c r="I448" i="1" a="1"/>
  <c r="I425" i="1" a="1"/>
  <c r="I421" i="1" a="1"/>
  <c r="I420" i="1" a="1"/>
  <c r="I714" i="1" a="1"/>
  <c r="I660" i="1" a="1"/>
  <c r="I621" i="1" a="1"/>
  <c r="I565" i="1" a="1"/>
  <c r="I521" i="1" a="1"/>
  <c r="I476" i="1" a="1"/>
  <c r="I465" i="1" a="1"/>
  <c r="I464" i="1" a="1"/>
  <c r="I453" i="1" a="1"/>
  <c r="I452" i="1" a="1"/>
  <c r="I424" i="1" a="1"/>
  <c r="I401" i="1" a="1"/>
  <c r="I389" i="1" a="1"/>
  <c r="I385" i="1" a="1"/>
  <c r="I381" i="1" a="1"/>
  <c r="I377" i="1" a="1"/>
  <c r="I373" i="1" a="1"/>
  <c r="I369" i="1" a="1"/>
  <c r="I365" i="1" a="1"/>
  <c r="I361" i="1" a="1"/>
  <c r="I357" i="1" a="1"/>
  <c r="I547" i="1" a="1"/>
  <c r="I515" i="1" a="1"/>
  <c r="I501" i="1" a="1"/>
  <c r="I497" i="1" a="1"/>
  <c r="I477" i="1" a="1"/>
  <c r="I429" i="1" a="1"/>
  <c r="I428" i="1" a="1"/>
  <c r="I405" i="1" a="1"/>
  <c r="I400" i="1" a="1"/>
  <c r="I397" i="1" a="1"/>
  <c r="I737" i="1" a="1"/>
  <c r="I640" i="1" a="1"/>
  <c r="I578" i="1" a="1"/>
  <c r="I554" i="1" a="1"/>
  <c r="I533" i="1" a="1"/>
  <c r="I461" i="1" a="1"/>
  <c r="I437" i="1" a="1"/>
  <c r="I432" i="1" a="1"/>
  <c r="I416" i="1" a="1"/>
  <c r="I394" i="1" a="1"/>
  <c r="I375" i="1" a="1"/>
  <c r="I374" i="1" a="1"/>
  <c r="I353" i="1" a="1"/>
  <c r="I734" i="1" a="1"/>
  <c r="I581" i="1" a="1"/>
  <c r="I456" i="1" a="1"/>
  <c r="I376" i="1" a="1"/>
  <c r="I370" i="1" a="1"/>
  <c r="I356" i="1" a="1"/>
  <c r="I355" i="1" a="1"/>
  <c r="I354" i="1" a="1"/>
  <c r="I340" i="1" a="1"/>
  <c r="I339" i="1" a="1"/>
  <c r="I338" i="1" a="1"/>
  <c r="I331" i="1" a="1"/>
  <c r="I327" i="1" a="1"/>
  <c r="I323" i="1" a="1"/>
  <c r="I319" i="1" a="1"/>
  <c r="I315" i="1" a="1"/>
  <c r="I311" i="1" a="1"/>
  <c r="I307" i="1" a="1"/>
  <c r="I303" i="1" a="1"/>
  <c r="I299" i="1" a="1"/>
  <c r="I295" i="1" a="1"/>
  <c r="I291" i="1" a="1"/>
  <c r="I287" i="1" a="1"/>
  <c r="I644" i="1" a="1"/>
  <c r="I539" i="1" a="1"/>
  <c r="I528" i="1" a="1"/>
  <c r="I619" i="1" a="1"/>
  <c r="I630" i="1" a="1"/>
  <c r="I674" i="1" a="1"/>
  <c r="I610" i="1" a="1"/>
  <c r="I673" i="1" a="1"/>
  <c r="I473" i="1" a="1"/>
  <c r="I469" i="1" a="1"/>
  <c r="I445" i="1" a="1"/>
  <c r="I384" i="1" a="1"/>
  <c r="I379" i="1" a="1"/>
  <c r="I378" i="1" a="1"/>
  <c r="I364" i="1" a="1"/>
  <c r="I359" i="1" a="1"/>
  <c r="I358" i="1" a="1"/>
  <c r="I349" i="1" a="1"/>
  <c r="I489" i="1" a="1"/>
  <c r="I481" i="1" a="1"/>
  <c r="I472" i="1" a="1"/>
  <c r="I412" i="1" a="1"/>
  <c r="I393" i="1" a="1"/>
  <c r="I387" i="1" a="1"/>
  <c r="I383" i="1" a="1"/>
  <c r="I366" i="1" a="1"/>
  <c r="I362" i="1" a="1"/>
  <c r="I348" i="1" a="1"/>
  <c r="I343" i="1" a="1"/>
  <c r="I334" i="1" a="1"/>
  <c r="I329" i="1" a="1"/>
  <c r="I309" i="1" a="1"/>
  <c r="I294" i="1" a="1"/>
  <c r="I283" i="1" a="1"/>
  <c r="I282" i="1" a="1"/>
  <c r="I281" i="1" a="1"/>
  <c r="I409" i="1" a="1"/>
  <c r="I404" i="1" a="1"/>
  <c r="I371" i="1" a="1"/>
  <c r="I351" i="1" a="1"/>
  <c r="I330" i="1" a="1"/>
  <c r="I324" i="1" a="1"/>
  <c r="I310" i="1" a="1"/>
  <c r="I304" i="1" a="1"/>
  <c r="I289" i="1" a="1"/>
  <c r="I284" i="1" a="1"/>
  <c r="I277" i="1" a="1"/>
  <c r="I273" i="1" a="1"/>
  <c r="I269" i="1" a="1"/>
  <c r="I265" i="1" a="1"/>
  <c r="I261" i="1" a="1"/>
  <c r="I257" i="1" a="1"/>
  <c r="I253" i="1" a="1"/>
  <c r="I249" i="1" a="1"/>
  <c r="I245" i="1" a="1"/>
  <c r="I241" i="1" a="1"/>
  <c r="I237" i="1" a="1"/>
  <c r="I233" i="1" a="1"/>
  <c r="I229" i="1" a="1"/>
  <c r="I225" i="1" a="1"/>
  <c r="I221" i="1" a="1"/>
  <c r="I217" i="1" a="1"/>
  <c r="I213" i="1" a="1"/>
  <c r="I209" i="1" a="1"/>
  <c r="I205" i="1" a="1"/>
  <c r="I201" i="1" a="1"/>
  <c r="I197" i="1" a="1"/>
  <c r="I193" i="1" a="1"/>
  <c r="I189" i="1" a="1"/>
  <c r="I185" i="1" a="1"/>
  <c r="I181" i="1" a="1"/>
  <c r="I177" i="1" a="1"/>
  <c r="I173" i="1" a="1"/>
  <c r="I537" i="1" a="1"/>
  <c r="I509" i="1" a="1"/>
  <c r="I485" i="1" a="1"/>
  <c r="I468" i="1" a="1"/>
  <c r="I367" i="1" a="1"/>
  <c r="I341" i="1" a="1"/>
  <c r="I335" i="1" a="1"/>
  <c r="I325" i="1" a="1"/>
  <c r="I320" i="1" a="1"/>
  <c r="I305" i="1" a="1"/>
  <c r="I300" i="1" a="1"/>
  <c r="I290" i="1" a="1"/>
  <c r="I285" i="1" a="1"/>
  <c r="I457" i="1" a="1"/>
  <c r="I417" i="1" a="1"/>
  <c r="I408" i="1" a="1"/>
  <c r="I380" i="1" a="1"/>
  <c r="I346" i="1" a="1"/>
  <c r="I344" i="1" a="1"/>
  <c r="I336" i="1" a="1"/>
  <c r="I326" i="1" a="1"/>
  <c r="I543" i="1" a="1"/>
  <c r="I526" i="1" a="1"/>
  <c r="I440" i="1" a="1"/>
  <c r="I382" i="1" a="1"/>
  <c r="I363" i="1" a="1"/>
  <c r="I322" i="1" a="1"/>
  <c r="I318" i="1" a="1"/>
  <c r="I314" i="1" a="1"/>
  <c r="I301" i="1" a="1"/>
  <c r="I297" i="1" a="1"/>
  <c r="I276" i="1" a="1"/>
  <c r="I255" i="1" a="1"/>
  <c r="I240" i="1" a="1"/>
  <c r="I235" i="1" a="1"/>
  <c r="I234" i="1" a="1"/>
  <c r="I216" i="1" a="1"/>
  <c r="I211" i="1" a="1"/>
  <c r="I196" i="1" a="1"/>
  <c r="I191" i="1" a="1"/>
  <c r="I172" i="1" a="1"/>
  <c r="I171" i="1" a="1"/>
  <c r="I170" i="1" a="1"/>
  <c r="I156" i="1" a="1"/>
  <c r="I155" i="1" a="1"/>
  <c r="I154" i="1" a="1"/>
  <c r="I413" i="1" a="1"/>
  <c r="I392" i="1" a="1"/>
  <c r="I266" i="1" a="1"/>
  <c r="I230" i="1" a="1"/>
  <c r="I159" i="1" a="1"/>
  <c r="I246" i="1" a="1"/>
  <c r="I202" i="1" a="1"/>
  <c r="I178" i="1" a="1"/>
  <c r="I227" i="1" a="1"/>
  <c r="I222" i="1" a="1"/>
  <c r="I179" i="1" a="1"/>
  <c r="I164" i="1" a="1"/>
  <c r="I242" i="1" a="1"/>
  <c r="I199" i="1" a="1"/>
  <c r="I175" i="1" a="1"/>
  <c r="I165" i="1" a="1"/>
  <c r="I352" i="1" a="1"/>
  <c r="I337" i="1" a="1"/>
  <c r="I328" i="1" a="1"/>
  <c r="I312" i="1" a="1"/>
  <c r="I293" i="1" a="1"/>
  <c r="I271" i="1" a="1"/>
  <c r="I270" i="1" a="1"/>
  <c r="I256" i="1" a="1"/>
  <c r="I251" i="1" a="1"/>
  <c r="I250" i="1" a="1"/>
  <c r="I236" i="1" a="1"/>
  <c r="I212" i="1" a="1"/>
  <c r="I207" i="1" a="1"/>
  <c r="I206" i="1" a="1"/>
  <c r="I192" i="1" a="1"/>
  <c r="I187" i="1" a="1"/>
  <c r="I186" i="1" a="1"/>
  <c r="I157" i="1" a="1"/>
  <c r="I372" i="1" a="1"/>
  <c r="I332" i="1" a="1"/>
  <c r="I272" i="1" a="1"/>
  <c r="I252" i="1" a="1"/>
  <c r="I231" i="1" a="1"/>
  <c r="I208" i="1" a="1"/>
  <c r="I188" i="1" a="1"/>
  <c r="I182" i="1" a="1"/>
  <c r="I160" i="1" a="1"/>
  <c r="I158" i="1" a="1"/>
  <c r="I280" i="1" a="1"/>
  <c r="I267" i="1" a="1"/>
  <c r="I247" i="1" a="1"/>
  <c r="I232" i="1" a="1"/>
  <c r="I226" i="1" a="1"/>
  <c r="I203" i="1" a="1"/>
  <c r="I183" i="1" a="1"/>
  <c r="I161" i="1" a="1"/>
  <c r="I248" i="1" a="1"/>
  <c r="I184" i="1" a="1"/>
  <c r="I162" i="1" a="1"/>
  <c r="I243" i="1" a="1"/>
  <c r="I228" i="1" a="1"/>
  <c r="I198" i="1" a="1"/>
  <c r="I174" i="1" a="1"/>
  <c r="I396" i="1" a="1"/>
  <c r="I388" i="1" a="1"/>
  <c r="I308" i="1" a="1"/>
  <c r="I306" i="1" a="1"/>
  <c r="I433" i="1" a="1"/>
  <c r="I345" i="1" a="1"/>
  <c r="I342" i="1" a="1"/>
  <c r="I321" i="1" a="1"/>
  <c r="I317" i="1" a="1"/>
  <c r="I313" i="1" a="1"/>
  <c r="I302" i="1" a="1"/>
  <c r="I298" i="1" a="1"/>
  <c r="I296" i="1" a="1"/>
  <c r="I268" i="1" a="1"/>
  <c r="I263" i="1" a="1"/>
  <c r="I262" i="1" a="1"/>
  <c r="I502" i="1" a="1"/>
  <c r="I368" i="1" a="1"/>
  <c r="I286" i="1" a="1"/>
  <c r="I278" i="1" a="1"/>
  <c r="I264" i="1" a="1"/>
  <c r="I444" i="1" a="1"/>
  <c r="I441" i="1" a="1"/>
  <c r="I436" i="1" a="1"/>
  <c r="I390" i="1" a="1"/>
  <c r="I347" i="1" a="1"/>
  <c r="I333" i="1" a="1"/>
  <c r="I292" i="1" a="1"/>
  <c r="I259" i="1" a="1"/>
  <c r="I258" i="1" a="1"/>
  <c r="I244" i="1" a="1"/>
  <c r="I238" i="1" a="1"/>
  <c r="I224" i="1" a="1"/>
  <c r="I219" i="1" a="1"/>
  <c r="I214" i="1" a="1"/>
  <c r="I200" i="1" a="1"/>
  <c r="I194" i="1" a="1"/>
  <c r="I176" i="1" a="1"/>
  <c r="I168" i="1" a="1"/>
  <c r="I167" i="1" a="1"/>
  <c r="I166" i="1" a="1"/>
  <c r="I152" i="1" a="1"/>
  <c r="I151" i="1" a="1"/>
  <c r="I460" i="1" a="1"/>
  <c r="I386" i="1" a="1"/>
  <c r="I360" i="1" a="1"/>
  <c r="I350" i="1" a="1"/>
  <c r="I316" i="1" a="1"/>
  <c r="I288" i="1" a="1"/>
  <c r="I279" i="1" a="1"/>
  <c r="I275" i="1" a="1"/>
  <c r="I274" i="1" a="1"/>
  <c r="I260" i="1" a="1"/>
  <c r="I254" i="1" a="1"/>
  <c r="I239" i="1" a="1"/>
  <c r="I220" i="1" a="1"/>
  <c r="I215" i="1" a="1"/>
  <c r="I210" i="1" a="1"/>
  <c r="I195" i="1" a="1"/>
  <c r="I190" i="1" a="1"/>
  <c r="I169" i="1" a="1"/>
  <c r="I153" i="1" a="1"/>
  <c r="I204" i="1" a="1"/>
  <c r="I163" i="1" a="1"/>
  <c r="I223" i="1" a="1"/>
  <c r="I218" i="1" a="1"/>
  <c r="I180" i="1" a="1"/>
  <c r="I146" i="1" a="1"/>
  <c r="I142" i="1" a="1"/>
  <c r="I138" i="1" a="1"/>
  <c r="I134" i="1" a="1"/>
  <c r="I130" i="1" a="1"/>
  <c r="I126" i="1" a="1"/>
  <c r="I122" i="1" a="1"/>
  <c r="I118" i="1" a="1"/>
  <c r="I114" i="1" a="1"/>
  <c r="I110" i="1" a="1"/>
  <c r="I106" i="1" a="1"/>
  <c r="I102" i="1" a="1"/>
  <c r="I98" i="1" a="1"/>
  <c r="I94" i="1" a="1"/>
  <c r="I90" i="1" a="1"/>
  <c r="I86" i="1" a="1"/>
  <c r="I82" i="1" a="1"/>
  <c r="I78" i="1" a="1"/>
  <c r="I74" i="1" a="1"/>
  <c r="I70" i="1" a="1"/>
  <c r="I66" i="1" a="1"/>
  <c r="I62" i="1" a="1"/>
  <c r="I58" i="1" a="1"/>
  <c r="I54" i="1" a="1"/>
  <c r="I50" i="1" a="1"/>
  <c r="I46" i="1" a="1"/>
  <c r="I42" i="1" a="1"/>
  <c r="I38" i="1" a="1"/>
  <c r="I34" i="1" a="1"/>
  <c r="I30" i="1" a="1"/>
  <c r="I26" i="1" a="1"/>
  <c r="I22" i="1" a="1"/>
  <c r="I18" i="1" a="1"/>
  <c r="I14" i="1" a="1"/>
  <c r="I10" i="1" a="1"/>
  <c r="I6" i="1" a="1"/>
  <c r="I145" i="1" a="1"/>
  <c r="I141" i="1" a="1"/>
  <c r="I137" i="1" a="1"/>
  <c r="I133" i="1" a="1"/>
  <c r="I129" i="1" a="1"/>
  <c r="I125" i="1" a="1"/>
  <c r="I121" i="1" a="1"/>
  <c r="I117" i="1" a="1"/>
  <c r="I113" i="1" a="1"/>
  <c r="I109" i="1" a="1"/>
  <c r="I105" i="1" a="1"/>
  <c r="I101" i="1" a="1"/>
  <c r="I97" i="1" a="1"/>
  <c r="I93" i="1" a="1"/>
  <c r="I89" i="1" a="1"/>
  <c r="I85" i="1" a="1"/>
  <c r="I81" i="1" a="1"/>
  <c r="I77" i="1" a="1"/>
  <c r="I73" i="1" a="1"/>
  <c r="I69" i="1" a="1"/>
  <c r="I65" i="1" a="1"/>
  <c r="I61" i="1" a="1"/>
  <c r="I57" i="1" a="1"/>
  <c r="I53" i="1" a="1"/>
  <c r="I49" i="1" a="1"/>
  <c r="I45" i="1" a="1"/>
  <c r="I41" i="1" a="1"/>
  <c r="I37" i="1" a="1"/>
  <c r="I33" i="1" a="1"/>
  <c r="I25" i="1" a="1"/>
  <c r="I21" i="1" a="1"/>
  <c r="I17" i="1" a="1"/>
  <c r="I13" i="1" a="1"/>
  <c r="I9" i="1" a="1"/>
  <c r="I5" i="1" a="1"/>
  <c r="I150" i="1" a="1"/>
  <c r="I149" i="1" a="1"/>
  <c r="I147" i="1" a="1"/>
  <c r="I148" i="1" a="1"/>
  <c r="I28" i="1" a="1"/>
  <c r="I20" i="1" a="1"/>
  <c r="I12" i="1" a="1"/>
  <c r="I59" i="1" a="1"/>
  <c r="I35" i="1" a="1"/>
  <c r="I144" i="1" a="1"/>
  <c r="I112" i="1" a="1"/>
  <c r="I72" i="1" a="1"/>
  <c r="I48" i="1" a="1"/>
  <c r="I8" i="1" a="1"/>
  <c r="I127" i="1" a="1"/>
  <c r="I103" i="1" a="1"/>
  <c r="I79" i="1" a="1"/>
  <c r="I55" i="1" a="1"/>
  <c r="I31" i="1" a="1"/>
  <c r="I29" i="1" a="1"/>
  <c r="I139" i="1" a="1"/>
  <c r="I131" i="1" a="1"/>
  <c r="I123" i="1" a="1"/>
  <c r="I115" i="1" a="1"/>
  <c r="I107" i="1" a="1"/>
  <c r="I99" i="1" a="1"/>
  <c r="I91" i="1" a="1"/>
  <c r="I83" i="1" a="1"/>
  <c r="I75" i="1" a="1"/>
  <c r="I67" i="1" a="1"/>
  <c r="I51" i="1" a="1"/>
  <c r="I43" i="1" a="1"/>
  <c r="I128" i="1" a="1"/>
  <c r="I120" i="1" a="1"/>
  <c r="I96" i="1" a="1"/>
  <c r="I80" i="1" a="1"/>
  <c r="I56" i="1" a="1"/>
  <c r="I32" i="1" a="1"/>
  <c r="I16" i="1" a="1"/>
  <c r="I135" i="1" a="1"/>
  <c r="I119" i="1" a="1"/>
  <c r="I95" i="1" a="1"/>
  <c r="I71" i="1" a="1"/>
  <c r="I47" i="1" a="1"/>
  <c r="I7" i="1" a="1"/>
  <c r="I27" i="1" a="1"/>
  <c r="I19" i="1" a="1"/>
  <c r="I11" i="1" a="1"/>
  <c r="I136" i="1" a="1"/>
  <c r="I104" i="1" a="1"/>
  <c r="I88" i="1" a="1"/>
  <c r="I64" i="1" a="1"/>
  <c r="I40" i="1" a="1"/>
  <c r="I24" i="1" a="1"/>
  <c r="I143" i="1" a="1"/>
  <c r="I111" i="1" a="1"/>
  <c r="I87" i="1" a="1"/>
  <c r="I63" i="1" a="1"/>
  <c r="I39" i="1" a="1"/>
  <c r="I15" i="1" a="1"/>
  <c r="I140" i="1" a="1"/>
  <c r="I132" i="1" a="1"/>
  <c r="I124" i="1" a="1"/>
  <c r="I116" i="1" a="1"/>
  <c r="I108" i="1" a="1"/>
  <c r="I100" i="1" a="1"/>
  <c r="I92" i="1" a="1"/>
  <c r="I84" i="1" a="1"/>
  <c r="I76" i="1" a="1"/>
  <c r="I68" i="1" a="1"/>
  <c r="I60" i="1" a="1"/>
  <c r="I52" i="1" a="1"/>
  <c r="I44" i="1" a="1"/>
  <c r="I36" i="1" a="1"/>
  <c r="I23" i="1" a="1"/>
  <c r="I4" i="1" a="1"/>
  <c r="H757" i="1" a="1"/>
  <c r="H754" i="1" a="1"/>
  <c r="H756" i="1" a="1"/>
  <c r="H745" i="1" a="1"/>
  <c r="H729" i="1" a="1"/>
  <c r="H713" i="1" a="1"/>
  <c r="H697" i="1" a="1"/>
  <c r="H681" i="1" a="1"/>
  <c r="H665" i="1" a="1"/>
  <c r="H649" i="1" a="1"/>
  <c r="H633" i="1" a="1"/>
  <c r="H617" i="1" a="1"/>
  <c r="H601" i="1" a="1"/>
  <c r="H585" i="1" a="1"/>
  <c r="H569" i="1" a="1"/>
  <c r="H553" i="1" a="1"/>
  <c r="H537" i="1" a="1"/>
  <c r="H522" i="1" a="1"/>
  <c r="H513" i="1" a="1"/>
  <c r="H508" i="1" a="1"/>
  <c r="H499" i="1" a="1"/>
  <c r="H490" i="1" a="1"/>
  <c r="H481" i="1" a="1"/>
  <c r="H476" i="1" a="1"/>
  <c r="H467" i="1" a="1"/>
  <c r="H458" i="1" a="1"/>
  <c r="H449" i="1" a="1"/>
  <c r="H444" i="1" a="1"/>
  <c r="H435" i="1" a="1"/>
  <c r="H426" i="1" a="1"/>
  <c r="H417" i="1" a="1"/>
  <c r="H413" i="1" a="1"/>
  <c r="H409" i="1" a="1"/>
  <c r="H405" i="1" a="1"/>
  <c r="H401" i="1" a="1"/>
  <c r="H397" i="1" a="1"/>
  <c r="H393" i="1" a="1"/>
  <c r="H389" i="1" a="1"/>
  <c r="H385" i="1" a="1"/>
  <c r="H381" i="1" a="1"/>
  <c r="H377" i="1" a="1"/>
  <c r="H373" i="1" a="1"/>
  <c r="H369" i="1" a="1"/>
  <c r="H365" i="1" a="1"/>
  <c r="H361" i="1" a="1"/>
  <c r="H357" i="1" a="1"/>
  <c r="H353" i="1" a="1"/>
  <c r="H349" i="1" a="1"/>
  <c r="H345" i="1" a="1"/>
  <c r="H341" i="1" a="1"/>
  <c r="H337" i="1" a="1"/>
  <c r="H333" i="1" a="1"/>
  <c r="H329" i="1" a="1"/>
  <c r="H325" i="1" a="1"/>
  <c r="H321" i="1" a="1"/>
  <c r="H317" i="1" a="1"/>
  <c r="H313" i="1" a="1"/>
  <c r="H309" i="1" a="1"/>
  <c r="H305" i="1" a="1"/>
  <c r="H301" i="1" a="1"/>
  <c r="H750" i="1" a="1"/>
  <c r="H744" i="1" a="1"/>
  <c r="H739" i="1" a="1"/>
  <c r="H734" i="1" a="1"/>
  <c r="H728" i="1" a="1"/>
  <c r="H723" i="1" a="1"/>
  <c r="H718" i="1" a="1"/>
  <c r="H712" i="1" a="1"/>
  <c r="H707" i="1" a="1"/>
  <c r="H702" i="1" a="1"/>
  <c r="H696" i="1" a="1"/>
  <c r="H691" i="1" a="1"/>
  <c r="H686" i="1" a="1"/>
  <c r="H680" i="1" a="1"/>
  <c r="H675" i="1" a="1"/>
  <c r="H670" i="1" a="1"/>
  <c r="H664" i="1" a="1"/>
  <c r="H659" i="1" a="1"/>
  <c r="H654" i="1" a="1"/>
  <c r="H648" i="1" a="1"/>
  <c r="H643" i="1" a="1"/>
  <c r="H638" i="1" a="1"/>
  <c r="H632" i="1" a="1"/>
  <c r="H627" i="1" a="1"/>
  <c r="H622" i="1" a="1"/>
  <c r="H616" i="1" a="1"/>
  <c r="H611" i="1" a="1"/>
  <c r="H606" i="1" a="1"/>
  <c r="H600" i="1" a="1"/>
  <c r="H595" i="1" a="1"/>
  <c r="H590" i="1" a="1"/>
  <c r="H584" i="1" a="1"/>
  <c r="H579" i="1" a="1"/>
  <c r="H574" i="1" a="1"/>
  <c r="H568" i="1" a="1"/>
  <c r="H563" i="1" a="1"/>
  <c r="H558" i="1" a="1"/>
  <c r="H552" i="1" a="1"/>
  <c r="H547" i="1" a="1"/>
  <c r="H542" i="1" a="1"/>
  <c r="H536" i="1" a="1"/>
  <c r="H531" i="1" a="1"/>
  <c r="H526" i="1" a="1"/>
  <c r="H517" i="1" a="1"/>
  <c r="H512" i="1" a="1"/>
  <c r="H503" i="1" a="1"/>
  <c r="H494" i="1" a="1"/>
  <c r="H485" i="1" a="1"/>
  <c r="H480" i="1" a="1"/>
  <c r="H471" i="1" a="1"/>
  <c r="H462" i="1" a="1"/>
  <c r="H453" i="1" a="1"/>
  <c r="H448" i="1" a="1"/>
  <c r="H439" i="1" a="1"/>
  <c r="H430" i="1" a="1"/>
  <c r="H421" i="1" a="1"/>
  <c r="H755" i="1" a="1"/>
  <c r="H749" i="1" a="1"/>
  <c r="H733" i="1" a="1"/>
  <c r="H717" i="1" a="1"/>
  <c r="H701" i="1" a="1"/>
  <c r="H685" i="1" a="1"/>
  <c r="H669" i="1" a="1"/>
  <c r="H653" i="1" a="1"/>
  <c r="H637" i="1" a="1"/>
  <c r="H621" i="1" a="1"/>
  <c r="H605" i="1" a="1"/>
  <c r="H589" i="1" a="1"/>
  <c r="H573" i="1" a="1"/>
  <c r="H557" i="1" a="1"/>
  <c r="H541" i="1" a="1"/>
  <c r="H521" i="1" a="1"/>
  <c r="H516" i="1" a="1"/>
  <c r="H507" i="1" a="1"/>
  <c r="H498" i="1" a="1"/>
  <c r="H489" i="1" a="1"/>
  <c r="H484" i="1" a="1"/>
  <c r="H475" i="1" a="1"/>
  <c r="H466" i="1" a="1"/>
  <c r="H457" i="1" a="1"/>
  <c r="H452" i="1" a="1"/>
  <c r="H443" i="1" a="1"/>
  <c r="H434" i="1" a="1"/>
  <c r="H425" i="1" a="1"/>
  <c r="H420" i="1" a="1"/>
  <c r="H416" i="1" a="1"/>
  <c r="H412" i="1" a="1"/>
  <c r="H408" i="1" a="1"/>
  <c r="H404" i="1" a="1"/>
  <c r="H400" i="1" a="1"/>
  <c r="H396" i="1" a="1"/>
  <c r="H392" i="1" a="1"/>
  <c r="H388" i="1" a="1"/>
  <c r="H384" i="1" a="1"/>
  <c r="H380" i="1" a="1"/>
  <c r="H376" i="1" a="1"/>
  <c r="H372" i="1" a="1"/>
  <c r="H368" i="1" a="1"/>
  <c r="H364" i="1" a="1"/>
  <c r="H360" i="1" a="1"/>
  <c r="H751" i="1" a="1"/>
  <c r="H746" i="1" a="1"/>
  <c r="H740" i="1" a="1"/>
  <c r="H735" i="1" a="1"/>
  <c r="H730" i="1" a="1"/>
  <c r="H724" i="1" a="1"/>
  <c r="H719" i="1" a="1"/>
  <c r="H714" i="1" a="1"/>
  <c r="H708" i="1" a="1"/>
  <c r="H703" i="1" a="1"/>
  <c r="H698" i="1" a="1"/>
  <c r="H692" i="1" a="1"/>
  <c r="H687" i="1" a="1"/>
  <c r="H682" i="1" a="1"/>
  <c r="H676" i="1" a="1"/>
  <c r="H671" i="1" a="1"/>
  <c r="H666" i="1" a="1"/>
  <c r="H660" i="1" a="1"/>
  <c r="H655" i="1" a="1"/>
  <c r="H650" i="1" a="1"/>
  <c r="H644" i="1" a="1"/>
  <c r="H639" i="1" a="1"/>
  <c r="H634" i="1" a="1"/>
  <c r="H628" i="1" a="1"/>
  <c r="H623" i="1" a="1"/>
  <c r="H618" i="1" a="1"/>
  <c r="H612" i="1" a="1"/>
  <c r="H607" i="1" a="1"/>
  <c r="H602" i="1" a="1"/>
  <c r="H596" i="1" a="1"/>
  <c r="H591" i="1" a="1"/>
  <c r="H586" i="1" a="1"/>
  <c r="H580" i="1" a="1"/>
  <c r="H575" i="1" a="1"/>
  <c r="H570" i="1" a="1"/>
  <c r="H564" i="1" a="1"/>
  <c r="H559" i="1" a="1"/>
  <c r="H554" i="1" a="1"/>
  <c r="H548" i="1" a="1"/>
  <c r="H543" i="1" a="1"/>
  <c r="H538" i="1" a="1"/>
  <c r="H532" i="1" a="1"/>
  <c r="H527" i="1" a="1"/>
  <c r="H518" i="1" a="1"/>
  <c r="H509" i="1" a="1"/>
  <c r="H504" i="1" a="1"/>
  <c r="H495" i="1" a="1"/>
  <c r="H486" i="1" a="1"/>
  <c r="H477" i="1" a="1"/>
  <c r="H472" i="1" a="1"/>
  <c r="H463" i="1" a="1"/>
  <c r="H454" i="1" a="1"/>
  <c r="H445" i="1" a="1"/>
  <c r="H440" i="1" a="1"/>
  <c r="H431" i="1" a="1"/>
  <c r="H422" i="1" a="1"/>
  <c r="H753" i="1" a="1"/>
  <c r="H721" i="1" a="1"/>
  <c r="H689" i="1" a="1"/>
  <c r="H657" i="1" a="1"/>
  <c r="H625" i="1" a="1"/>
  <c r="H593" i="1" a="1"/>
  <c r="H561" i="1" a="1"/>
  <c r="H529" i="1" a="1"/>
  <c r="H492" i="1" a="1"/>
  <c r="H483" i="1" a="1"/>
  <c r="H474" i="1" a="1"/>
  <c r="H465" i="1" a="1"/>
  <c r="H428" i="1" a="1"/>
  <c r="H419" i="1" a="1"/>
  <c r="H411" i="1" a="1"/>
  <c r="H403" i="1" a="1"/>
  <c r="H395" i="1" a="1"/>
  <c r="H387" i="1" a="1"/>
  <c r="H379" i="1" a="1"/>
  <c r="H371" i="1" a="1"/>
  <c r="H363" i="1" a="1"/>
  <c r="H350" i="1" a="1"/>
  <c r="H343" i="1" a="1"/>
  <c r="H336" i="1" a="1"/>
  <c r="H318" i="1" a="1"/>
  <c r="H311" i="1" a="1"/>
  <c r="H304" i="1" a="1"/>
  <c r="H293" i="1" a="1"/>
  <c r="H283" i="1" a="1"/>
  <c r="H274" i="1" a="1"/>
  <c r="H752" i="1" a="1"/>
  <c r="H742" i="1" a="1"/>
  <c r="H731" i="1" a="1"/>
  <c r="H720" i="1" a="1"/>
  <c r="H710" i="1" a="1"/>
  <c r="H699" i="1" a="1"/>
  <c r="H688" i="1" a="1"/>
  <c r="H678" i="1" a="1"/>
  <c r="H667" i="1" a="1"/>
  <c r="H656" i="1" a="1"/>
  <c r="H646" i="1" a="1"/>
  <c r="H635" i="1" a="1"/>
  <c r="H624" i="1" a="1"/>
  <c r="H614" i="1" a="1"/>
  <c r="H603" i="1" a="1"/>
  <c r="H592" i="1" a="1"/>
  <c r="H582" i="1" a="1"/>
  <c r="H571" i="1" a="1"/>
  <c r="H560" i="1" a="1"/>
  <c r="H550" i="1" a="1"/>
  <c r="H539" i="1" a="1"/>
  <c r="H528" i="1" a="1"/>
  <c r="H519" i="1" a="1"/>
  <c r="H510" i="1" a="1"/>
  <c r="H501" i="1" a="1"/>
  <c r="H464" i="1" a="1"/>
  <c r="H455" i="1" a="1"/>
  <c r="H446" i="1" a="1"/>
  <c r="H437" i="1" a="1"/>
  <c r="H355" i="1" a="1"/>
  <c r="H348" i="1" a="1"/>
  <c r="H330" i="1" a="1"/>
  <c r="H323" i="1" a="1"/>
  <c r="H316" i="1" a="1"/>
  <c r="H298" i="1" a="1"/>
  <c r="H292" i="1" a="1"/>
  <c r="H287" i="1" a="1"/>
  <c r="H278" i="1" a="1"/>
  <c r="H269" i="1" a="1"/>
  <c r="H265" i="1" a="1"/>
  <c r="H261" i="1" a="1"/>
  <c r="H257" i="1" a="1"/>
  <c r="H253" i="1" a="1"/>
  <c r="H249" i="1" a="1"/>
  <c r="H245" i="1" a="1"/>
  <c r="H241" i="1" a="1"/>
  <c r="H237" i="1" a="1"/>
  <c r="H233" i="1" a="1"/>
  <c r="H229" i="1" a="1"/>
  <c r="H225" i="1" a="1"/>
  <c r="H221" i="1" a="1"/>
  <c r="H217" i="1" a="1"/>
  <c r="H213" i="1" a="1"/>
  <c r="H209" i="1" a="1"/>
  <c r="H205" i="1" a="1"/>
  <c r="H201" i="1" a="1"/>
  <c r="H197" i="1" a="1"/>
  <c r="H193" i="1" a="1"/>
  <c r="H189" i="1" a="1"/>
  <c r="H185" i="1" a="1"/>
  <c r="H181" i="1" a="1"/>
  <c r="H177" i="1" a="1"/>
  <c r="H173" i="1" a="1"/>
  <c r="H169" i="1" a="1"/>
  <c r="H165" i="1" a="1"/>
  <c r="H161" i="1" a="1"/>
  <c r="H157" i="1" a="1"/>
  <c r="H153" i="1" a="1"/>
  <c r="H149" i="1" a="1"/>
  <c r="H145" i="1" a="1"/>
  <c r="H141" i="1" a="1"/>
  <c r="H741" i="1" a="1"/>
  <c r="H709" i="1" a="1"/>
  <c r="H677" i="1" a="1"/>
  <c r="H645" i="1" a="1"/>
  <c r="H613" i="1" a="1"/>
  <c r="H581" i="1" a="1"/>
  <c r="H549" i="1" a="1"/>
  <c r="H500" i="1" a="1"/>
  <c r="H491" i="1" a="1"/>
  <c r="H482" i="1" a="1"/>
  <c r="H473" i="1" a="1"/>
  <c r="H436" i="1" a="1"/>
  <c r="H427" i="1" a="1"/>
  <c r="H418" i="1" a="1"/>
  <c r="H410" i="1" a="1"/>
  <c r="H402" i="1" a="1"/>
  <c r="H394" i="1" a="1"/>
  <c r="H386" i="1" a="1"/>
  <c r="H378" i="1" a="1"/>
  <c r="H370" i="1" a="1"/>
  <c r="H362" i="1" a="1"/>
  <c r="H342" i="1" a="1"/>
  <c r="H335" i="1" a="1"/>
  <c r="H328" i="1" a="1"/>
  <c r="H310" i="1" a="1"/>
  <c r="H303" i="1" a="1"/>
  <c r="H297" i="1" a="1"/>
  <c r="H282" i="1" a="1"/>
  <c r="H273" i="1" a="1"/>
  <c r="H748" i="1" a="1"/>
  <c r="H743" i="1" a="1"/>
  <c r="H732" i="1" a="1"/>
  <c r="H722" i="1" a="1"/>
  <c r="H711" i="1" a="1"/>
  <c r="H700" i="1" a="1"/>
  <c r="H690" i="1" a="1"/>
  <c r="H679" i="1" a="1"/>
  <c r="H668" i="1" a="1"/>
  <c r="H658" i="1" a="1"/>
  <c r="H647" i="1" a="1"/>
  <c r="H636" i="1" a="1"/>
  <c r="H626" i="1" a="1"/>
  <c r="H615" i="1" a="1"/>
  <c r="H604" i="1" a="1"/>
  <c r="H594" i="1" a="1"/>
  <c r="H583" i="1" a="1"/>
  <c r="H572" i="1" a="1"/>
  <c r="H562" i="1" a="1"/>
  <c r="H551" i="1" a="1"/>
  <c r="H705" i="1" a="1"/>
  <c r="H641" i="1" a="1"/>
  <c r="H577" i="1" a="1"/>
  <c r="H535" i="1" a="1"/>
  <c r="H523" i="1" a="1"/>
  <c r="H506" i="1" a="1"/>
  <c r="H493" i="1" a="1"/>
  <c r="H478" i="1" a="1"/>
  <c r="H461" i="1" a="1"/>
  <c r="H450" i="1" a="1"/>
  <c r="H433" i="1" a="1"/>
  <c r="H382" i="1" a="1"/>
  <c r="H367" i="1" a="1"/>
  <c r="H356" i="1" a="1"/>
  <c r="H346" i="1" a="1"/>
  <c r="H326" i="1" a="1"/>
  <c r="H306" i="1" a="1"/>
  <c r="H295" i="1" a="1"/>
  <c r="H286" i="1" a="1"/>
  <c r="H266" i="1" a="1"/>
  <c r="H259" i="1" a="1"/>
  <c r="H252" i="1" a="1"/>
  <c r="H234" i="1" a="1"/>
  <c r="H227" i="1" a="1"/>
  <c r="H220" i="1" a="1"/>
  <c r="H202" i="1" a="1"/>
  <c r="H195" i="1" a="1"/>
  <c r="H188" i="1" a="1"/>
  <c r="H170" i="1" a="1"/>
  <c r="H163" i="1" a="1"/>
  <c r="H156" i="1" a="1"/>
  <c r="H138" i="1" a="1"/>
  <c r="H132" i="1" a="1"/>
  <c r="H127" i="1" a="1"/>
  <c r="H122" i="1" a="1"/>
  <c r="H116" i="1" a="1"/>
  <c r="H199" i="1" a="1"/>
  <c r="H142" i="1" a="1"/>
  <c r="H110" i="1" a="1"/>
  <c r="H94" i="1" a="1"/>
  <c r="H82" i="1" a="1"/>
  <c r="H70" i="1" a="1"/>
  <c r="H54" i="1" a="1"/>
  <c r="H38" i="1" a="1"/>
  <c r="H30" i="1" a="1"/>
  <c r="H14" i="1" a="1"/>
  <c r="H6" i="1" a="1"/>
  <c r="H530" i="1" a="1"/>
  <c r="H351" i="1" a="1"/>
  <c r="H308" i="1" a="1"/>
  <c r="H243" i="1" a="1"/>
  <c r="H204" i="1" a="1"/>
  <c r="H172" i="1" a="1"/>
  <c r="H140" i="1" a="1"/>
  <c r="H119" i="1" a="1"/>
  <c r="H694" i="1" a="1"/>
  <c r="H608" i="1" a="1"/>
  <c r="H525" i="1" a="1"/>
  <c r="H441" i="1" a="1"/>
  <c r="H359" i="1" a="1"/>
  <c r="H262" i="1" a="1"/>
  <c r="H223" i="1" a="1"/>
  <c r="H191" i="1" a="1"/>
  <c r="H152" i="1" a="1"/>
  <c r="H97" i="1" a="1"/>
  <c r="H73" i="1" a="1"/>
  <c r="H53" i="1" a="1"/>
  <c r="H33" i="1" a="1"/>
  <c r="H17" i="1" a="1"/>
  <c r="H565" i="1" a="1"/>
  <c r="H479" i="1" a="1"/>
  <c r="H423" i="1" a="1"/>
  <c r="H747" i="1" a="1"/>
  <c r="H726" i="1" a="1"/>
  <c r="H704" i="1" a="1"/>
  <c r="H683" i="1" a="1"/>
  <c r="H662" i="1" a="1"/>
  <c r="H640" i="1" a="1"/>
  <c r="H619" i="1" a="1"/>
  <c r="H598" i="1" a="1"/>
  <c r="H576" i="1" a="1"/>
  <c r="H555" i="1" a="1"/>
  <c r="H520" i="1" a="1"/>
  <c r="H488" i="1" a="1"/>
  <c r="H460" i="1" a="1"/>
  <c r="H447" i="1" a="1"/>
  <c r="H432" i="1" a="1"/>
  <c r="H406" i="1" a="1"/>
  <c r="H391" i="1" a="1"/>
  <c r="H354" i="1" a="1"/>
  <c r="H344" i="1" a="1"/>
  <c r="H334" i="1" a="1"/>
  <c r="H324" i="1" a="1"/>
  <c r="H314" i="1" a="1"/>
  <c r="H279" i="1" a="1"/>
  <c r="H271" i="1" a="1"/>
  <c r="H264" i="1" a="1"/>
  <c r="H246" i="1" a="1"/>
  <c r="H239" i="1" a="1"/>
  <c r="H232" i="1" a="1"/>
  <c r="H214" i="1" a="1"/>
  <c r="H207" i="1" a="1"/>
  <c r="H200" i="1" a="1"/>
  <c r="H182" i="1" a="1"/>
  <c r="H175" i="1" a="1"/>
  <c r="H168" i="1" a="1"/>
  <c r="H150" i="1" a="1"/>
  <c r="H143" i="1" a="1"/>
  <c r="H137" i="1" a="1"/>
  <c r="H121" i="1" a="1"/>
  <c r="H111" i="1" a="1"/>
  <c r="H107" i="1" a="1"/>
  <c r="H103" i="1" a="1"/>
  <c r="H99" i="1" a="1"/>
  <c r="H95" i="1" a="1"/>
  <c r="H91" i="1" a="1"/>
  <c r="H87" i="1" a="1"/>
  <c r="H83" i="1" a="1"/>
  <c r="H79" i="1" a="1"/>
  <c r="H75" i="1" a="1"/>
  <c r="H71" i="1" a="1"/>
  <c r="H67" i="1" a="1"/>
  <c r="H63" i="1" a="1"/>
  <c r="H59" i="1" a="1"/>
  <c r="H55" i="1" a="1"/>
  <c r="H51" i="1" a="1"/>
  <c r="H47" i="1" a="1"/>
  <c r="H43" i="1" a="1"/>
  <c r="H39" i="1" a="1"/>
  <c r="H35" i="1" a="1"/>
  <c r="H31" i="1" a="1"/>
  <c r="H27" i="1" a="1"/>
  <c r="H23" i="1" a="1"/>
  <c r="H19" i="1" a="1"/>
  <c r="H15" i="1" a="1"/>
  <c r="H11" i="1" a="1"/>
  <c r="H7" i="1" a="1"/>
  <c r="H102" i="1" a="1"/>
  <c r="H90" i="1" a="1"/>
  <c r="H74" i="1" a="1"/>
  <c r="H58" i="1" a="1"/>
  <c r="H42" i="1" a="1"/>
  <c r="H26" i="1" a="1"/>
  <c r="H10" i="1" a="1"/>
  <c r="H737" i="1" a="1"/>
  <c r="H414" i="1" a="1"/>
  <c r="H268" i="1" a="1"/>
  <c r="H211" i="1" a="1"/>
  <c r="H186" i="1" a="1"/>
  <c r="H147" i="1" a="1"/>
  <c r="H124" i="1" a="1"/>
  <c r="H736" i="1" a="1"/>
  <c r="H651" i="1" a="1"/>
  <c r="H566" i="1" a="1"/>
  <c r="H514" i="1" a="1"/>
  <c r="H374" i="1" a="1"/>
  <c r="H299" i="1" a="1"/>
  <c r="H248" i="1" a="1"/>
  <c r="H198" i="1" a="1"/>
  <c r="H129" i="1" a="1"/>
  <c r="H101" i="1" a="1"/>
  <c r="H85" i="1" a="1"/>
  <c r="H69" i="1" a="1"/>
  <c r="H57" i="1" a="1"/>
  <c r="H41" i="1" a="1"/>
  <c r="H37" i="1" a="1"/>
  <c r="H21" i="1" a="1"/>
  <c r="H9" i="1" a="1"/>
  <c r="H629" i="1" a="1"/>
  <c r="H496" i="1" a="1"/>
  <c r="H468" i="1" a="1"/>
  <c r="H725" i="1" a="1"/>
  <c r="H661" i="1" a="1"/>
  <c r="H597" i="1" a="1"/>
  <c r="H534" i="1" a="1"/>
  <c r="H505" i="1" a="1"/>
  <c r="H415" i="1" a="1"/>
  <c r="H366" i="1" a="1"/>
  <c r="H352" i="1" a="1"/>
  <c r="H332" i="1" a="1"/>
  <c r="H322" i="1" a="1"/>
  <c r="H312" i="1" a="1"/>
  <c r="H302" i="1" a="1"/>
  <c r="H294" i="1" a="1"/>
  <c r="H285" i="1" a="1"/>
  <c r="H277" i="1" a="1"/>
  <c r="H258" i="1" a="1"/>
  <c r="H251" i="1" a="1"/>
  <c r="H244" i="1" a="1"/>
  <c r="H226" i="1" a="1"/>
  <c r="H219" i="1" a="1"/>
  <c r="H212" i="1" a="1"/>
  <c r="H194" i="1" a="1"/>
  <c r="H187" i="1" a="1"/>
  <c r="H180" i="1" a="1"/>
  <c r="H162" i="1" a="1"/>
  <c r="H155" i="1" a="1"/>
  <c r="H148" i="1" a="1"/>
  <c r="H136" i="1" a="1"/>
  <c r="H131" i="1" a="1"/>
  <c r="H126" i="1" a="1"/>
  <c r="H120" i="1" a="1"/>
  <c r="H115" i="1" a="1"/>
  <c r="H160" i="1" a="1"/>
  <c r="H98" i="1" a="1"/>
  <c r="H78" i="1" a="1"/>
  <c r="H62" i="1" a="1"/>
  <c r="H50" i="1" a="1"/>
  <c r="H34" i="1" a="1"/>
  <c r="H18" i="1" a="1"/>
  <c r="H456" i="1" a="1"/>
  <c r="H399" i="1" a="1"/>
  <c r="H236" i="1" a="1"/>
  <c r="H179" i="1" a="1"/>
  <c r="H130" i="1" a="1"/>
  <c r="H715" i="1" a="1"/>
  <c r="H630" i="1" a="1"/>
  <c r="H544" i="1" a="1"/>
  <c r="H469" i="1" a="1"/>
  <c r="H319" i="1" a="1"/>
  <c r="H275" i="1" a="1"/>
  <c r="H230" i="1" a="1"/>
  <c r="H184" i="1" a="1"/>
  <c r="H166" i="1" a="1"/>
  <c r="H109" i="1" a="1"/>
  <c r="H89" i="1" a="1"/>
  <c r="H77" i="1" a="1"/>
  <c r="H61" i="1" a="1"/>
  <c r="H45" i="1" a="1"/>
  <c r="H29" i="1" a="1"/>
  <c r="H13" i="1" a="1"/>
  <c r="H693" i="1" a="1"/>
  <c r="H524" i="1" a="1"/>
  <c r="H451" i="1" a="1"/>
  <c r="H738" i="1" a="1"/>
  <c r="H716" i="1" a="1"/>
  <c r="H695" i="1" a="1"/>
  <c r="H674" i="1" a="1"/>
  <c r="H652" i="1" a="1"/>
  <c r="H631" i="1" a="1"/>
  <c r="H610" i="1" a="1"/>
  <c r="H588" i="1" a="1"/>
  <c r="H567" i="1" a="1"/>
  <c r="H546" i="1" a="1"/>
  <c r="H533" i="1" a="1"/>
  <c r="H515" i="1" a="1"/>
  <c r="H502" i="1" a="1"/>
  <c r="H487" i="1" a="1"/>
  <c r="H470" i="1" a="1"/>
  <c r="H459" i="1" a="1"/>
  <c r="H442" i="1" a="1"/>
  <c r="H429" i="1" a="1"/>
  <c r="H390" i="1" a="1"/>
  <c r="H375" i="1" a="1"/>
  <c r="H340" i="1" a="1"/>
  <c r="H320" i="1" a="1"/>
  <c r="H300" i="1" a="1"/>
  <c r="H291" i="1" a="1"/>
  <c r="H284" i="1" a="1"/>
  <c r="H276" i="1" a="1"/>
  <c r="H270" i="1" a="1"/>
  <c r="H263" i="1" a="1"/>
  <c r="H256" i="1" a="1"/>
  <c r="H238" i="1" a="1"/>
  <c r="H231" i="1" a="1"/>
  <c r="H224" i="1" a="1"/>
  <c r="H206" i="1" a="1"/>
  <c r="H192" i="1" a="1"/>
  <c r="H174" i="1" a="1"/>
  <c r="H167" i="1" a="1"/>
  <c r="H125" i="1" a="1"/>
  <c r="H106" i="1" a="1"/>
  <c r="H86" i="1" a="1"/>
  <c r="H66" i="1" a="1"/>
  <c r="H46" i="1" a="1"/>
  <c r="H22" i="1" a="1"/>
  <c r="H673" i="1" a="1"/>
  <c r="H609" i="1" a="1"/>
  <c r="H545" i="1" a="1"/>
  <c r="H424" i="1" a="1"/>
  <c r="H331" i="1" a="1"/>
  <c r="H250" i="1" a="1"/>
  <c r="H218" i="1" a="1"/>
  <c r="H154" i="1" a="1"/>
  <c r="H135" i="1" a="1"/>
  <c r="H114" i="1" a="1"/>
  <c r="H672" i="1" a="1"/>
  <c r="H587" i="1" a="1"/>
  <c r="H497" i="1" a="1"/>
  <c r="H339" i="1" a="1"/>
  <c r="H290" i="1" a="1"/>
  <c r="H255" i="1" a="1"/>
  <c r="H216" i="1" a="1"/>
  <c r="H159" i="1" a="1"/>
  <c r="H105" i="1" a="1"/>
  <c r="H93" i="1" a="1"/>
  <c r="H81" i="1" a="1"/>
  <c r="H65" i="1" a="1"/>
  <c r="H49" i="1" a="1"/>
  <c r="H25" i="1" a="1"/>
  <c r="H511" i="1" a="1"/>
  <c r="H727" i="1" a="1"/>
  <c r="H556" i="1" a="1"/>
  <c r="H438" i="1" a="1"/>
  <c r="H338" i="1" a="1"/>
  <c r="H240" i="1" a="1"/>
  <c r="H215" i="1" a="1"/>
  <c r="H190" i="1" a="1"/>
  <c r="H117" i="1" a="1"/>
  <c r="H100" i="1" a="1"/>
  <c r="H84" i="1" a="1"/>
  <c r="H68" i="1" a="1"/>
  <c r="H52" i="1" a="1"/>
  <c r="H36" i="1" a="1"/>
  <c r="H20" i="1" a="1"/>
  <c r="H288" i="1" a="1"/>
  <c r="H208" i="1" a="1"/>
  <c r="H158" i="1" a="1"/>
  <c r="H112" i="1" a="1"/>
  <c r="H64" i="1" a="1"/>
  <c r="H32" i="1" a="1"/>
  <c r="H203" i="1" a="1"/>
  <c r="H128" i="1" a="1"/>
  <c r="H358" i="1" a="1"/>
  <c r="H280" i="1" a="1"/>
  <c r="H176" i="1" a="1"/>
  <c r="H92" i="1" a="1"/>
  <c r="H44" i="1" a="1"/>
  <c r="H620" i="1" a="1"/>
  <c r="H307" i="1" a="1"/>
  <c r="H146" i="1" a="1"/>
  <c r="H272" i="1" a="1"/>
  <c r="H144" i="1" a="1"/>
  <c r="H72" i="1" a="1"/>
  <c r="H24" i="1" a="1"/>
  <c r="H267" i="1" a="1"/>
  <c r="H118" i="1" a="1"/>
  <c r="H706" i="1" a="1"/>
  <c r="H540" i="1" a="1"/>
  <c r="H327" i="1" a="1"/>
  <c r="H289" i="1" a="1"/>
  <c r="H260" i="1" a="1"/>
  <c r="H235" i="1" a="1"/>
  <c r="H210" i="1" a="1"/>
  <c r="H134" i="1" a="1"/>
  <c r="H113" i="1" a="1"/>
  <c r="H684" i="1" a="1"/>
  <c r="H183" i="1" a="1"/>
  <c r="H133" i="1" a="1"/>
  <c r="H80" i="1" a="1"/>
  <c r="H48" i="1" a="1"/>
  <c r="H16" i="1" a="1"/>
  <c r="H663" i="1" a="1"/>
  <c r="H281" i="1" a="1"/>
  <c r="H228" i="1" a="1"/>
  <c r="H642" i="1" a="1"/>
  <c r="H315" i="1" a="1"/>
  <c r="H151" i="1" a="1"/>
  <c r="H76" i="1" a="1"/>
  <c r="H12" i="1" a="1"/>
  <c r="H398" i="1" a="1"/>
  <c r="H171" i="1" a="1"/>
  <c r="H123" i="1" a="1"/>
  <c r="H222" i="1" a="1"/>
  <c r="H104" i="1" a="1"/>
  <c r="H40" i="1" a="1"/>
  <c r="H578" i="1" a="1"/>
  <c r="H296" i="1" a="1"/>
  <c r="H164" i="1" a="1"/>
  <c r="H96" i="1" a="1"/>
  <c r="H178" i="1" a="1"/>
  <c r="H407" i="1" a="1"/>
  <c r="H254" i="1" a="1"/>
  <c r="H108" i="1" a="1"/>
  <c r="H60" i="1" a="1"/>
  <c r="H28" i="1" a="1"/>
  <c r="H347" i="1" a="1"/>
  <c r="H196" i="1" a="1"/>
  <c r="H599" i="1" a="1"/>
  <c r="H247" i="1" a="1"/>
  <c r="H88" i="1" a="1"/>
  <c r="H56" i="1" a="1"/>
  <c r="H8" i="1" a="1"/>
  <c r="H383" i="1" a="1"/>
  <c r="H242" i="1" a="1"/>
  <c r="H139" i="1" a="1"/>
  <c r="H4" i="1" a="1"/>
  <c r="H5" i="1" a="1"/>
  <c r="I180" i="1" l="1"/>
  <c r="I218" i="1"/>
  <c r="I223" i="1"/>
  <c r="I163" i="1"/>
  <c r="I204" i="1"/>
  <c r="I153" i="1"/>
  <c r="I169" i="1"/>
  <c r="I190" i="1"/>
  <c r="I195" i="1"/>
  <c r="I210" i="1"/>
  <c r="I215" i="1"/>
  <c r="I220" i="1"/>
  <c r="I239" i="1"/>
  <c r="I254" i="1"/>
  <c r="I260" i="1"/>
  <c r="I274" i="1"/>
  <c r="I275" i="1"/>
  <c r="I279" i="1"/>
  <c r="I288" i="1"/>
  <c r="I316" i="1"/>
  <c r="I350" i="1"/>
  <c r="I360" i="1"/>
  <c r="I386" i="1"/>
  <c r="I460" i="1"/>
  <c r="I151" i="1"/>
  <c r="I152" i="1"/>
  <c r="I166" i="1"/>
  <c r="I167" i="1"/>
  <c r="I168" i="1"/>
  <c r="I176" i="1"/>
  <c r="I194" i="1"/>
  <c r="I200" i="1"/>
  <c r="I214" i="1"/>
  <c r="I219" i="1"/>
  <c r="I224" i="1"/>
  <c r="I238" i="1"/>
  <c r="I244" i="1"/>
  <c r="I258" i="1"/>
  <c r="I259" i="1"/>
  <c r="I292" i="1"/>
  <c r="I333" i="1"/>
  <c r="I347" i="1"/>
  <c r="I390" i="1"/>
  <c r="I436" i="1"/>
  <c r="I441" i="1"/>
  <c r="I444" i="1"/>
  <c r="I264" i="1"/>
  <c r="I278" i="1"/>
  <c r="I286" i="1"/>
  <c r="I368" i="1"/>
  <c r="I502" i="1"/>
  <c r="I262" i="1"/>
  <c r="I263" i="1"/>
  <c r="I268" i="1"/>
  <c r="I296" i="1"/>
  <c r="I298" i="1"/>
  <c r="I302" i="1"/>
  <c r="I313" i="1"/>
  <c r="I317" i="1"/>
  <c r="I321" i="1"/>
  <c r="I342" i="1"/>
  <c r="I345" i="1"/>
  <c r="I433" i="1"/>
  <c r="I306" i="1"/>
  <c r="I308" i="1"/>
  <c r="I388" i="1"/>
  <c r="I396" i="1"/>
  <c r="I174" i="1"/>
  <c r="I198" i="1"/>
  <c r="I228" i="1"/>
  <c r="I243" i="1"/>
  <c r="I162" i="1"/>
  <c r="I184" i="1"/>
  <c r="I248" i="1"/>
  <c r="I161" i="1"/>
  <c r="I183" i="1"/>
  <c r="I203" i="1"/>
  <c r="I226" i="1"/>
  <c r="I232" i="1"/>
  <c r="I247" i="1"/>
  <c r="I267" i="1"/>
  <c r="I280" i="1"/>
  <c r="I158" i="1"/>
  <c r="I160" i="1"/>
  <c r="I182" i="1"/>
  <c r="I188" i="1"/>
  <c r="I208" i="1"/>
  <c r="I231" i="1"/>
  <c r="I252" i="1"/>
  <c r="I272" i="1"/>
  <c r="I332" i="1"/>
  <c r="I372" i="1"/>
  <c r="I157" i="1"/>
  <c r="I186" i="1"/>
  <c r="I187" i="1"/>
  <c r="I192" i="1"/>
  <c r="I206" i="1"/>
  <c r="I207" i="1"/>
  <c r="I212" i="1"/>
  <c r="I236" i="1"/>
  <c r="I250" i="1"/>
  <c r="I251" i="1"/>
  <c r="I256" i="1"/>
  <c r="I270" i="1"/>
  <c r="I271" i="1"/>
  <c r="I293" i="1"/>
  <c r="I312" i="1"/>
  <c r="I328" i="1"/>
  <c r="I337" i="1"/>
  <c r="I352" i="1"/>
  <c r="I165" i="1"/>
  <c r="I175" i="1"/>
  <c r="I199" i="1"/>
  <c r="I242" i="1"/>
  <c r="I164" i="1"/>
  <c r="I179" i="1"/>
  <c r="I222" i="1"/>
  <c r="I227" i="1"/>
  <c r="I178" i="1"/>
  <c r="I202" i="1"/>
  <c r="I246" i="1"/>
  <c r="I159" i="1"/>
  <c r="I230" i="1"/>
  <c r="I266" i="1"/>
  <c r="I392" i="1"/>
  <c r="I413" i="1"/>
  <c r="I154" i="1"/>
  <c r="I155" i="1"/>
  <c r="I156" i="1"/>
  <c r="I170" i="1"/>
  <c r="I171" i="1"/>
  <c r="I172" i="1"/>
  <c r="I191" i="1"/>
  <c r="I196" i="1"/>
  <c r="I211" i="1"/>
  <c r="I216" i="1"/>
  <c r="I234" i="1"/>
  <c r="I235" i="1"/>
  <c r="I240" i="1"/>
  <c r="I255" i="1"/>
  <c r="I276" i="1"/>
  <c r="I297" i="1"/>
  <c r="I301" i="1"/>
  <c r="I314" i="1"/>
  <c r="I318" i="1"/>
  <c r="I322" i="1"/>
  <c r="I363" i="1"/>
  <c r="I382" i="1"/>
  <c r="I440" i="1"/>
  <c r="I526" i="1"/>
  <c r="I543" i="1"/>
  <c r="I326" i="1"/>
  <c r="I336" i="1"/>
  <c r="I344" i="1"/>
  <c r="I346" i="1"/>
  <c r="I380" i="1"/>
  <c r="I408" i="1"/>
  <c r="I417" i="1"/>
  <c r="I457" i="1"/>
  <c r="I285" i="1"/>
  <c r="I290" i="1"/>
  <c r="I300" i="1"/>
  <c r="I305" i="1"/>
  <c r="I320" i="1"/>
  <c r="I325" i="1"/>
  <c r="I335" i="1"/>
  <c r="I341" i="1"/>
  <c r="I367" i="1"/>
  <c r="I468" i="1"/>
  <c r="I485" i="1"/>
  <c r="I509" i="1"/>
  <c r="I537" i="1"/>
  <c r="I173" i="1"/>
  <c r="I177" i="1"/>
  <c r="I181" i="1"/>
  <c r="I185" i="1"/>
  <c r="I189" i="1"/>
  <c r="I193" i="1"/>
  <c r="I197" i="1"/>
  <c r="I201" i="1"/>
  <c r="I205" i="1"/>
  <c r="I209" i="1"/>
  <c r="I213" i="1"/>
  <c r="I217" i="1"/>
  <c r="I221" i="1"/>
  <c r="I225" i="1"/>
  <c r="I229" i="1"/>
  <c r="I233" i="1"/>
  <c r="I237" i="1"/>
  <c r="I241" i="1"/>
  <c r="I245" i="1"/>
  <c r="I249" i="1"/>
  <c r="I253" i="1"/>
  <c r="I257" i="1"/>
  <c r="I261" i="1"/>
  <c r="I265" i="1"/>
  <c r="I269" i="1"/>
  <c r="I273" i="1"/>
  <c r="I277" i="1"/>
  <c r="I284" i="1"/>
  <c r="I289" i="1"/>
  <c r="I304" i="1"/>
  <c r="I310" i="1"/>
  <c r="I324" i="1"/>
  <c r="I330" i="1"/>
  <c r="I351" i="1"/>
  <c r="I371" i="1"/>
  <c r="I404" i="1"/>
  <c r="I409" i="1"/>
  <c r="I281" i="1"/>
  <c r="I282" i="1"/>
  <c r="I283" i="1"/>
  <c r="I294" i="1"/>
  <c r="I309" i="1"/>
  <c r="I329" i="1"/>
  <c r="I334" i="1"/>
  <c r="I343" i="1"/>
  <c r="I348" i="1"/>
  <c r="I362" i="1"/>
  <c r="I366" i="1"/>
  <c r="I383" i="1"/>
  <c r="I387" i="1"/>
  <c r="I393" i="1"/>
  <c r="I412" i="1"/>
  <c r="I472" i="1"/>
  <c r="I481" i="1"/>
  <c r="I489" i="1"/>
  <c r="I349" i="1"/>
  <c r="I358" i="1"/>
  <c r="I359" i="1"/>
  <c r="I364" i="1"/>
  <c r="I378" i="1"/>
  <c r="I379" i="1"/>
  <c r="I384" i="1"/>
  <c r="I445" i="1"/>
  <c r="I469" i="1"/>
  <c r="I473" i="1"/>
  <c r="I673" i="1"/>
  <c r="I610" i="1"/>
  <c r="I674" i="1"/>
  <c r="I630" i="1"/>
  <c r="I619" i="1"/>
  <c r="I528" i="1"/>
  <c r="I539" i="1"/>
  <c r="I644" i="1"/>
  <c r="I287" i="1"/>
  <c r="I291" i="1"/>
  <c r="I295" i="1"/>
  <c r="I299" i="1"/>
  <c r="I303" i="1"/>
  <c r="I307" i="1"/>
  <c r="I311" i="1"/>
  <c r="I315" i="1"/>
  <c r="I319" i="1"/>
  <c r="I323" i="1"/>
  <c r="I327" i="1"/>
  <c r="I331" i="1"/>
  <c r="I338" i="1"/>
  <c r="I339" i="1"/>
  <c r="I340" i="1"/>
  <c r="I354" i="1"/>
  <c r="I355" i="1"/>
  <c r="I356" i="1"/>
  <c r="I370" i="1"/>
  <c r="I376" i="1"/>
  <c r="I456" i="1"/>
  <c r="I581" i="1"/>
  <c r="I734" i="1"/>
  <c r="I353" i="1"/>
  <c r="I374" i="1"/>
  <c r="I375" i="1"/>
  <c r="I394" i="1"/>
  <c r="I416" i="1"/>
  <c r="I432" i="1"/>
  <c r="I437" i="1"/>
  <c r="I461" i="1"/>
  <c r="I533" i="1"/>
  <c r="I554" i="1"/>
  <c r="I578" i="1"/>
  <c r="I640" i="1"/>
  <c r="I737" i="1"/>
  <c r="I397" i="1"/>
  <c r="I400" i="1"/>
  <c r="I405" i="1"/>
  <c r="I428" i="1"/>
  <c r="I429" i="1"/>
  <c r="I477" i="1"/>
  <c r="I497" i="1"/>
  <c r="I501" i="1"/>
  <c r="I515" i="1"/>
  <c r="I547" i="1"/>
  <c r="I357" i="1"/>
  <c r="I361" i="1"/>
  <c r="I365" i="1"/>
  <c r="I369" i="1"/>
  <c r="I373" i="1"/>
  <c r="I377" i="1"/>
  <c r="I381" i="1"/>
  <c r="I385" i="1"/>
  <c r="I389" i="1"/>
  <c r="I401" i="1"/>
  <c r="I424" i="1"/>
  <c r="I452" i="1"/>
  <c r="I453" i="1"/>
  <c r="I464" i="1"/>
  <c r="I465" i="1"/>
  <c r="I476" i="1"/>
  <c r="I521" i="1"/>
  <c r="I565" i="1"/>
  <c r="I621" i="1"/>
  <c r="I660" i="1"/>
  <c r="I714" i="1"/>
  <c r="I420" i="1"/>
  <c r="I421" i="1"/>
  <c r="I425" i="1"/>
  <c r="I448" i="1"/>
  <c r="I449" i="1"/>
  <c r="I493" i="1"/>
  <c r="I503" i="1"/>
  <c r="I538" i="1"/>
  <c r="I566" i="1"/>
  <c r="I573" i="1"/>
  <c r="I588" i="1"/>
  <c r="I606" i="1"/>
  <c r="I480" i="1"/>
  <c r="I484" i="1"/>
  <c r="I488" i="1"/>
  <c r="I492" i="1"/>
  <c r="I496" i="1"/>
  <c r="I510" i="1"/>
  <c r="I511" i="1"/>
  <c r="I516" i="1"/>
  <c r="I522" i="1"/>
  <c r="I527" i="1"/>
  <c r="I540" i="1"/>
  <c r="I559" i="1"/>
  <c r="I574" i="1"/>
  <c r="I579" i="1"/>
  <c r="I505" i="1"/>
  <c r="I520" i="1"/>
  <c r="I532" i="1"/>
  <c r="I542" i="1"/>
  <c r="I558" i="1"/>
  <c r="I561" i="1"/>
  <c r="I585" i="1"/>
  <c r="I622" i="1"/>
  <c r="I631" i="1"/>
  <c r="I652" i="1"/>
  <c r="I706" i="1"/>
  <c r="I754" i="1"/>
  <c r="I398" i="1"/>
  <c r="I402" i="1"/>
  <c r="I406" i="1"/>
  <c r="I410" i="1"/>
  <c r="I414" i="1"/>
  <c r="I418" i="1"/>
  <c r="I422" i="1"/>
  <c r="I426" i="1"/>
  <c r="I430" i="1"/>
  <c r="I434" i="1"/>
  <c r="I438" i="1"/>
  <c r="I442" i="1"/>
  <c r="I446" i="1"/>
  <c r="I450" i="1"/>
  <c r="I454" i="1"/>
  <c r="I458" i="1"/>
  <c r="I462" i="1"/>
  <c r="I466" i="1"/>
  <c r="I470" i="1"/>
  <c r="I474" i="1"/>
  <c r="I478" i="1"/>
  <c r="I482" i="1"/>
  <c r="I486" i="1"/>
  <c r="I490" i="1"/>
  <c r="I494" i="1"/>
  <c r="I498" i="1"/>
  <c r="I519" i="1"/>
  <c r="I531" i="1"/>
  <c r="I536" i="1"/>
  <c r="I553" i="1"/>
  <c r="I567" i="1"/>
  <c r="I583" i="1"/>
  <c r="I663" i="1"/>
  <c r="I670" i="1"/>
  <c r="I686" i="1"/>
  <c r="I506" i="1"/>
  <c r="I518" i="1"/>
  <c r="I530" i="1"/>
  <c r="I541" i="1"/>
  <c r="I575" i="1"/>
  <c r="I577" i="1"/>
  <c r="I603" i="1"/>
  <c r="I623" i="1"/>
  <c r="I643" i="1"/>
  <c r="I391" i="1"/>
  <c r="I395" i="1"/>
  <c r="I399" i="1"/>
  <c r="I403" i="1"/>
  <c r="I407" i="1"/>
  <c r="I411" i="1"/>
  <c r="I415" i="1"/>
  <c r="I419" i="1"/>
  <c r="I423" i="1"/>
  <c r="I427" i="1"/>
  <c r="I431" i="1"/>
  <c r="I435" i="1"/>
  <c r="I439" i="1"/>
  <c r="I443" i="1"/>
  <c r="I447" i="1"/>
  <c r="I451" i="1"/>
  <c r="I455" i="1"/>
  <c r="I459" i="1"/>
  <c r="I463" i="1"/>
  <c r="I467" i="1"/>
  <c r="I471" i="1"/>
  <c r="I475" i="1"/>
  <c r="I479" i="1"/>
  <c r="I483" i="1"/>
  <c r="I487" i="1"/>
  <c r="I491" i="1"/>
  <c r="I495" i="1"/>
  <c r="I499" i="1"/>
  <c r="I507" i="1"/>
  <c r="I517" i="1"/>
  <c r="I529" i="1"/>
  <c r="I555" i="1"/>
  <c r="I557" i="1"/>
  <c r="I641" i="1"/>
  <c r="I664" i="1"/>
  <c r="I708" i="1"/>
  <c r="I562" i="1"/>
  <c r="I563" i="1"/>
  <c r="I596" i="1"/>
  <c r="I604" i="1"/>
  <c r="I637" i="1"/>
  <c r="I653" i="1"/>
  <c r="I749" i="1"/>
  <c r="I512" i="1"/>
  <c r="I513" i="1"/>
  <c r="I523" i="1"/>
  <c r="I534" i="1"/>
  <c r="I544" i="1"/>
  <c r="I545" i="1"/>
  <c r="I549" i="1"/>
  <c r="I569" i="1"/>
  <c r="I570" i="1"/>
  <c r="I571" i="1"/>
  <c r="I582" i="1"/>
  <c r="I587" i="1"/>
  <c r="I594" i="1"/>
  <c r="I608" i="1"/>
  <c r="I612" i="1"/>
  <c r="I614" i="1"/>
  <c r="I616" i="1"/>
  <c r="I618" i="1"/>
  <c r="I634" i="1"/>
  <c r="I684" i="1"/>
  <c r="I718" i="1"/>
  <c r="I500" i="1"/>
  <c r="I504" i="1"/>
  <c r="I508" i="1"/>
  <c r="I514" i="1"/>
  <c r="I524" i="1"/>
  <c r="I525" i="1"/>
  <c r="I535" i="1"/>
  <c r="I546" i="1"/>
  <c r="I550" i="1"/>
  <c r="I551" i="1"/>
  <c r="I586" i="1"/>
  <c r="I590" i="1"/>
  <c r="I593" i="1"/>
  <c r="I605" i="1"/>
  <c r="I620" i="1"/>
  <c r="I632" i="1"/>
  <c r="I642" i="1"/>
  <c r="I646" i="1"/>
  <c r="I671" i="1"/>
  <c r="I711" i="1"/>
  <c r="I721" i="1"/>
  <c r="I592" i="1"/>
  <c r="I607" i="1"/>
  <c r="I611" i="1"/>
  <c r="I624" i="1"/>
  <c r="I635" i="1"/>
  <c r="I638" i="1"/>
  <c r="I650" i="1"/>
  <c r="I669" i="1"/>
  <c r="I717" i="1"/>
  <c r="I719" i="1"/>
  <c r="I739" i="1"/>
  <c r="I548" i="1"/>
  <c r="I552" i="1"/>
  <c r="I556" i="1"/>
  <c r="I560" i="1"/>
  <c r="I564" i="1"/>
  <c r="I568" i="1"/>
  <c r="I572" i="1"/>
  <c r="I576" i="1"/>
  <c r="I580" i="1"/>
  <c r="I584" i="1"/>
  <c r="I597" i="1"/>
  <c r="I598" i="1"/>
  <c r="I599" i="1"/>
  <c r="I600" i="1"/>
  <c r="I609" i="1"/>
  <c r="I633" i="1"/>
  <c r="I645" i="1"/>
  <c r="I648" i="1"/>
  <c r="I651" i="1"/>
  <c r="I680" i="1"/>
  <c r="I681" i="1"/>
  <c r="I713" i="1"/>
  <c r="I753" i="1"/>
  <c r="I589" i="1"/>
  <c r="I613" i="1"/>
  <c r="I617" i="1"/>
  <c r="I639" i="1"/>
  <c r="I654" i="1"/>
  <c r="I661" i="1"/>
  <c r="I683" i="1"/>
  <c r="I685" i="1"/>
  <c r="I693" i="1"/>
  <c r="I715" i="1"/>
  <c r="I732" i="1"/>
  <c r="I747" i="1"/>
  <c r="I736" i="1"/>
  <c r="I746" i="1"/>
  <c r="I748" i="1"/>
  <c r="I738" i="1"/>
  <c r="I627" i="1"/>
  <c r="I628" i="1"/>
  <c r="I629" i="1"/>
  <c r="I659" i="1"/>
  <c r="I672" i="1"/>
  <c r="I682" i="1"/>
  <c r="I702" i="1"/>
  <c r="I733" i="1"/>
  <c r="I743" i="1"/>
  <c r="I752" i="1"/>
  <c r="I591" i="1"/>
  <c r="I595" i="1"/>
  <c r="I601" i="1"/>
  <c r="I602" i="1"/>
  <c r="I649" i="1"/>
  <c r="I662" i="1"/>
  <c r="I675" i="1"/>
  <c r="I707" i="1"/>
  <c r="I712" i="1"/>
  <c r="I716" i="1"/>
  <c r="I735" i="1"/>
  <c r="I740" i="1"/>
  <c r="I755" i="1"/>
  <c r="I655" i="1"/>
  <c r="I665" i="1"/>
  <c r="I666" i="1"/>
  <c r="I676" i="1"/>
  <c r="I687" i="1"/>
  <c r="I700" i="1"/>
  <c r="I701" i="1"/>
  <c r="I703" i="1"/>
  <c r="I704" i="1"/>
  <c r="I705" i="1"/>
  <c r="I730" i="1"/>
  <c r="I751" i="1"/>
  <c r="I656" i="1"/>
  <c r="I667" i="1"/>
  <c r="I677" i="1"/>
  <c r="I678" i="1"/>
  <c r="I688" i="1"/>
  <c r="I698" i="1"/>
  <c r="I726" i="1"/>
  <c r="I727" i="1"/>
  <c r="I728" i="1"/>
  <c r="I729" i="1"/>
  <c r="I750" i="1"/>
  <c r="I615" i="1"/>
  <c r="I625" i="1"/>
  <c r="I626" i="1"/>
  <c r="I636" i="1"/>
  <c r="I647" i="1"/>
  <c r="I657" i="1"/>
  <c r="I658" i="1"/>
  <c r="I668" i="1"/>
  <c r="I679" i="1"/>
  <c r="I689" i="1"/>
  <c r="I690" i="1"/>
  <c r="I691" i="1"/>
  <c r="I692" i="1"/>
  <c r="I694" i="1"/>
  <c r="I695" i="1"/>
  <c r="I696" i="1"/>
  <c r="I697" i="1"/>
  <c r="I722" i="1"/>
  <c r="I723" i="1"/>
  <c r="I724" i="1"/>
  <c r="I725" i="1"/>
  <c r="I756" i="1"/>
  <c r="I757" i="1"/>
  <c r="I699" i="1"/>
  <c r="I709" i="1"/>
  <c r="I710" i="1"/>
  <c r="I720" i="1"/>
  <c r="I731" i="1"/>
  <c r="I741" i="1"/>
  <c r="I742" i="1"/>
  <c r="I744" i="1"/>
  <c r="I745" i="1"/>
  <c r="I23" i="1"/>
  <c r="I36" i="1"/>
  <c r="I44" i="1"/>
  <c r="I52" i="1"/>
  <c r="I60" i="1"/>
  <c r="I68" i="1"/>
  <c r="I76" i="1"/>
  <c r="I84" i="1"/>
  <c r="I92" i="1"/>
  <c r="I100" i="1"/>
  <c r="I108" i="1"/>
  <c r="I116" i="1"/>
  <c r="I124" i="1"/>
  <c r="I132" i="1"/>
  <c r="I140" i="1"/>
  <c r="I15" i="1"/>
  <c r="I39" i="1"/>
  <c r="I63" i="1"/>
  <c r="I87" i="1"/>
  <c r="I111" i="1"/>
  <c r="I143" i="1"/>
  <c r="I24" i="1"/>
  <c r="I40" i="1"/>
  <c r="I64" i="1"/>
  <c r="I88" i="1"/>
  <c r="I104" i="1"/>
  <c r="I136" i="1"/>
  <c r="I11" i="1"/>
  <c r="I19" i="1"/>
  <c r="I27" i="1"/>
  <c r="I7" i="1"/>
  <c r="I47" i="1"/>
  <c r="I71" i="1"/>
  <c r="I95" i="1"/>
  <c r="I119" i="1"/>
  <c r="I135" i="1"/>
  <c r="I16" i="1"/>
  <c r="I32" i="1"/>
  <c r="I56" i="1"/>
  <c r="I80" i="1"/>
  <c r="I96" i="1"/>
  <c r="I120" i="1"/>
  <c r="I128" i="1"/>
  <c r="I43" i="1"/>
  <c r="I51" i="1"/>
  <c r="I67" i="1"/>
  <c r="I75" i="1"/>
  <c r="I83" i="1"/>
  <c r="I91" i="1"/>
  <c r="I99" i="1"/>
  <c r="I107" i="1"/>
  <c r="I115" i="1"/>
  <c r="I123" i="1"/>
  <c r="I131" i="1"/>
  <c r="I139" i="1"/>
  <c r="I29" i="1"/>
  <c r="I31" i="1"/>
  <c r="I55" i="1"/>
  <c r="I79" i="1"/>
  <c r="I103" i="1"/>
  <c r="I127" i="1"/>
  <c r="I8" i="1"/>
  <c r="I48" i="1"/>
  <c r="I72" i="1"/>
  <c r="I112" i="1"/>
  <c r="I144" i="1"/>
  <c r="I35" i="1"/>
  <c r="I59" i="1"/>
  <c r="I12" i="1"/>
  <c r="I20" i="1"/>
  <c r="I28" i="1"/>
  <c r="I148" i="1"/>
  <c r="I147" i="1"/>
  <c r="I149" i="1"/>
  <c r="I150" i="1"/>
  <c r="I5" i="1"/>
  <c r="I9" i="1"/>
  <c r="I13" i="1"/>
  <c r="I17" i="1"/>
  <c r="I21" i="1"/>
  <c r="I25" i="1"/>
  <c r="I33" i="1"/>
  <c r="I37" i="1"/>
  <c r="I41" i="1"/>
  <c r="I45" i="1"/>
  <c r="I49" i="1"/>
  <c r="I53" i="1"/>
  <c r="I57" i="1"/>
  <c r="I61" i="1"/>
  <c r="I65" i="1"/>
  <c r="I69" i="1"/>
  <c r="I73" i="1"/>
  <c r="I77" i="1"/>
  <c r="I81" i="1"/>
  <c r="I85" i="1"/>
  <c r="I89" i="1"/>
  <c r="I93" i="1"/>
  <c r="I97" i="1"/>
  <c r="I101" i="1"/>
  <c r="I105" i="1"/>
  <c r="I109" i="1"/>
  <c r="I113" i="1"/>
  <c r="I117" i="1"/>
  <c r="I121" i="1"/>
  <c r="I125" i="1"/>
  <c r="I129" i="1"/>
  <c r="I133" i="1"/>
  <c r="I137" i="1"/>
  <c r="I141" i="1"/>
  <c r="I145" i="1"/>
  <c r="I6" i="1"/>
  <c r="I10" i="1"/>
  <c r="I14" i="1"/>
  <c r="I18" i="1"/>
  <c r="I22" i="1"/>
  <c r="I26" i="1"/>
  <c r="I30" i="1"/>
  <c r="I34" i="1"/>
  <c r="I38" i="1"/>
  <c r="I42" i="1"/>
  <c r="I46" i="1"/>
  <c r="I50" i="1"/>
  <c r="I54" i="1"/>
  <c r="I58" i="1"/>
  <c r="I62" i="1"/>
  <c r="I66" i="1"/>
  <c r="I70" i="1"/>
  <c r="I74" i="1"/>
  <c r="I78" i="1"/>
  <c r="I82" i="1"/>
  <c r="I86" i="1"/>
  <c r="I90" i="1"/>
  <c r="I94" i="1"/>
  <c r="I98" i="1"/>
  <c r="I102" i="1"/>
  <c r="I106" i="1"/>
  <c r="I110" i="1"/>
  <c r="I114" i="1"/>
  <c r="I118" i="1"/>
  <c r="I122" i="1"/>
  <c r="I126" i="1"/>
  <c r="I130" i="1"/>
  <c r="I134" i="1"/>
  <c r="I138" i="1"/>
  <c r="I142" i="1"/>
  <c r="I146" i="1"/>
  <c r="I4" i="1"/>
  <c r="H139" i="1"/>
  <c r="H242" i="1"/>
  <c r="H383" i="1"/>
  <c r="H8" i="1"/>
  <c r="H56" i="1"/>
  <c r="H88" i="1"/>
  <c r="H247" i="1"/>
  <c r="H599" i="1"/>
  <c r="H196" i="1"/>
  <c r="H347" i="1"/>
  <c r="H28" i="1"/>
  <c r="H60" i="1"/>
  <c r="H108" i="1"/>
  <c r="H254" i="1"/>
  <c r="H407" i="1"/>
  <c r="H178" i="1"/>
  <c r="H96" i="1"/>
  <c r="H164" i="1"/>
  <c r="H296" i="1"/>
  <c r="H578" i="1"/>
  <c r="H40" i="1"/>
  <c r="H104" i="1"/>
  <c r="H222" i="1"/>
  <c r="H123" i="1"/>
  <c r="H171" i="1"/>
  <c r="H398" i="1"/>
  <c r="H12" i="1"/>
  <c r="H76" i="1"/>
  <c r="H151" i="1"/>
  <c r="H315" i="1"/>
  <c r="H642" i="1"/>
  <c r="H228" i="1"/>
  <c r="H281" i="1"/>
  <c r="H663" i="1"/>
  <c r="H16" i="1"/>
  <c r="H48" i="1"/>
  <c r="H80" i="1"/>
  <c r="H133" i="1"/>
  <c r="H183" i="1"/>
  <c r="H684" i="1"/>
  <c r="H113" i="1"/>
  <c r="H134" i="1"/>
  <c r="H210" i="1"/>
  <c r="H235" i="1"/>
  <c r="H260" i="1"/>
  <c r="H289" i="1"/>
  <c r="H327" i="1"/>
  <c r="H540" i="1"/>
  <c r="H706" i="1"/>
  <c r="H118" i="1"/>
  <c r="H267" i="1"/>
  <c r="H24" i="1"/>
  <c r="H72" i="1"/>
  <c r="H144" i="1"/>
  <c r="H272" i="1"/>
  <c r="H146" i="1"/>
  <c r="H307" i="1"/>
  <c r="H620" i="1"/>
  <c r="H44" i="1"/>
  <c r="H92" i="1"/>
  <c r="H176" i="1"/>
  <c r="H280" i="1"/>
  <c r="H358" i="1"/>
  <c r="H128" i="1"/>
  <c r="H203" i="1"/>
  <c r="H32" i="1"/>
  <c r="H64" i="1"/>
  <c r="H112" i="1"/>
  <c r="H158" i="1"/>
  <c r="H208" i="1"/>
  <c r="H288" i="1"/>
  <c r="H20" i="1"/>
  <c r="H36" i="1"/>
  <c r="H52" i="1"/>
  <c r="H68" i="1"/>
  <c r="H84" i="1"/>
  <c r="H100" i="1"/>
  <c r="H117" i="1"/>
  <c r="H190" i="1"/>
  <c r="H215" i="1"/>
  <c r="H240" i="1"/>
  <c r="H338" i="1"/>
  <c r="H438" i="1"/>
  <c r="H556" i="1"/>
  <c r="H727" i="1"/>
  <c r="H511" i="1"/>
  <c r="H25" i="1"/>
  <c r="H49" i="1"/>
  <c r="H65" i="1"/>
  <c r="H81" i="1"/>
  <c r="H93" i="1"/>
  <c r="H105" i="1"/>
  <c r="H159" i="1"/>
  <c r="H216" i="1"/>
  <c r="H255" i="1"/>
  <c r="H290" i="1"/>
  <c r="H339" i="1"/>
  <c r="H497" i="1"/>
  <c r="H587" i="1"/>
  <c r="H672" i="1"/>
  <c r="H114" i="1"/>
  <c r="H135" i="1"/>
  <c r="H154" i="1"/>
  <c r="H218" i="1"/>
  <c r="H250" i="1"/>
  <c r="H331" i="1"/>
  <c r="H424" i="1"/>
  <c r="H545" i="1"/>
  <c r="H609" i="1"/>
  <c r="H673" i="1"/>
  <c r="H22" i="1"/>
  <c r="H46" i="1"/>
  <c r="H66" i="1"/>
  <c r="H86" i="1"/>
  <c r="H106" i="1"/>
  <c r="H125" i="1"/>
  <c r="H167" i="1"/>
  <c r="H174" i="1"/>
  <c r="H192" i="1"/>
  <c r="H206" i="1"/>
  <c r="H224" i="1"/>
  <c r="H231" i="1"/>
  <c r="H238" i="1"/>
  <c r="H256" i="1"/>
  <c r="H263" i="1"/>
  <c r="H270" i="1"/>
  <c r="H276" i="1"/>
  <c r="H284" i="1"/>
  <c r="H291" i="1"/>
  <c r="H300" i="1"/>
  <c r="H320" i="1"/>
  <c r="H340" i="1"/>
  <c r="H375" i="1"/>
  <c r="H390" i="1"/>
  <c r="H429" i="1"/>
  <c r="H442" i="1"/>
  <c r="H459" i="1"/>
  <c r="H470" i="1"/>
  <c r="H487" i="1"/>
  <c r="H502" i="1"/>
  <c r="H515" i="1"/>
  <c r="H533" i="1"/>
  <c r="H546" i="1"/>
  <c r="H567" i="1"/>
  <c r="H588" i="1"/>
  <c r="H610" i="1"/>
  <c r="H631" i="1"/>
  <c r="H652" i="1"/>
  <c r="H674" i="1"/>
  <c r="H695" i="1"/>
  <c r="H716" i="1"/>
  <c r="H738" i="1"/>
  <c r="H451" i="1"/>
  <c r="H524" i="1"/>
  <c r="H693" i="1"/>
  <c r="H13" i="1"/>
  <c r="H29" i="1"/>
  <c r="H45" i="1"/>
  <c r="H61" i="1"/>
  <c r="H77" i="1"/>
  <c r="H89" i="1"/>
  <c r="H109" i="1"/>
  <c r="H166" i="1"/>
  <c r="H184" i="1"/>
  <c r="H230" i="1"/>
  <c r="H275" i="1"/>
  <c r="H319" i="1"/>
  <c r="H469" i="1"/>
  <c r="H544" i="1"/>
  <c r="H630" i="1"/>
  <c r="H715" i="1"/>
  <c r="H130" i="1"/>
  <c r="H179" i="1"/>
  <c r="H236" i="1"/>
  <c r="H399" i="1"/>
  <c r="H456" i="1"/>
  <c r="H18" i="1"/>
  <c r="H34" i="1"/>
  <c r="H50" i="1"/>
  <c r="H62" i="1"/>
  <c r="H78" i="1"/>
  <c r="H98" i="1"/>
  <c r="H160" i="1"/>
  <c r="H115" i="1"/>
  <c r="H120" i="1"/>
  <c r="H126" i="1"/>
  <c r="H131" i="1"/>
  <c r="H136" i="1"/>
  <c r="H148" i="1"/>
  <c r="H155" i="1"/>
  <c r="H162" i="1"/>
  <c r="H180" i="1"/>
  <c r="H187" i="1"/>
  <c r="H194" i="1"/>
  <c r="H212" i="1"/>
  <c r="H219" i="1"/>
  <c r="H226" i="1"/>
  <c r="H244" i="1"/>
  <c r="H251" i="1"/>
  <c r="H258" i="1"/>
  <c r="H277" i="1"/>
  <c r="H285" i="1"/>
  <c r="H294" i="1"/>
  <c r="H302" i="1"/>
  <c r="H312" i="1"/>
  <c r="H322" i="1"/>
  <c r="H332" i="1"/>
  <c r="H352" i="1"/>
  <c r="H366" i="1"/>
  <c r="H415" i="1"/>
  <c r="H505" i="1"/>
  <c r="H534" i="1"/>
  <c r="H597" i="1"/>
  <c r="H661" i="1"/>
  <c r="H725" i="1"/>
  <c r="H468" i="1"/>
  <c r="H496" i="1"/>
  <c r="H629" i="1"/>
  <c r="H9" i="1"/>
  <c r="H21" i="1"/>
  <c r="H37" i="1"/>
  <c r="H41" i="1"/>
  <c r="H57" i="1"/>
  <c r="H69" i="1"/>
  <c r="H85" i="1"/>
  <c r="H101" i="1"/>
  <c r="H129" i="1"/>
  <c r="H198" i="1"/>
  <c r="H248" i="1"/>
  <c r="H299" i="1"/>
  <c r="H374" i="1"/>
  <c r="H514" i="1"/>
  <c r="H566" i="1"/>
  <c r="H651" i="1"/>
  <c r="H736" i="1"/>
  <c r="H124" i="1"/>
  <c r="H147" i="1"/>
  <c r="H186" i="1"/>
  <c r="H211" i="1"/>
  <c r="H268" i="1"/>
  <c r="H414" i="1"/>
  <c r="H737" i="1"/>
  <c r="H10" i="1"/>
  <c r="H26" i="1"/>
  <c r="H42" i="1"/>
  <c r="H58" i="1"/>
  <c r="H74" i="1"/>
  <c r="H90" i="1"/>
  <c r="H102" i="1"/>
  <c r="H7" i="1"/>
  <c r="H11" i="1"/>
  <c r="H15" i="1"/>
  <c r="H19" i="1"/>
  <c r="H23" i="1"/>
  <c r="H27" i="1"/>
  <c r="H31" i="1"/>
  <c r="H35" i="1"/>
  <c r="H39" i="1"/>
  <c r="H43" i="1"/>
  <c r="H47" i="1"/>
  <c r="H51" i="1"/>
  <c r="H55" i="1"/>
  <c r="H59" i="1"/>
  <c r="H63" i="1"/>
  <c r="H67" i="1"/>
  <c r="H71" i="1"/>
  <c r="H75" i="1"/>
  <c r="H79" i="1"/>
  <c r="H83" i="1"/>
  <c r="H87" i="1"/>
  <c r="H91" i="1"/>
  <c r="H95" i="1"/>
  <c r="H99" i="1"/>
  <c r="H103" i="1"/>
  <c r="H107" i="1"/>
  <c r="H111" i="1"/>
  <c r="H121" i="1"/>
  <c r="H137" i="1"/>
  <c r="H143" i="1"/>
  <c r="H150" i="1"/>
  <c r="H168" i="1"/>
  <c r="H175" i="1"/>
  <c r="H182" i="1"/>
  <c r="H200" i="1"/>
  <c r="H207" i="1"/>
  <c r="H214" i="1"/>
  <c r="H232" i="1"/>
  <c r="H239" i="1"/>
  <c r="H246" i="1"/>
  <c r="H264" i="1"/>
  <c r="H271" i="1"/>
  <c r="H279" i="1"/>
  <c r="H314" i="1"/>
  <c r="H324" i="1"/>
  <c r="H334" i="1"/>
  <c r="H344" i="1"/>
  <c r="H354" i="1"/>
  <c r="H391" i="1"/>
  <c r="H406" i="1"/>
  <c r="H432" i="1"/>
  <c r="H447" i="1"/>
  <c r="H460" i="1"/>
  <c r="H488" i="1"/>
  <c r="H520" i="1"/>
  <c r="H555" i="1"/>
  <c r="H576" i="1"/>
  <c r="H598" i="1"/>
  <c r="H619" i="1"/>
  <c r="H640" i="1"/>
  <c r="H662" i="1"/>
  <c r="H683" i="1"/>
  <c r="H704" i="1"/>
  <c r="H726" i="1"/>
  <c r="H747" i="1"/>
  <c r="H423" i="1"/>
  <c r="H479" i="1"/>
  <c r="H565" i="1"/>
  <c r="H17" i="1"/>
  <c r="H33" i="1"/>
  <c r="H53" i="1"/>
  <c r="H73" i="1"/>
  <c r="H97" i="1"/>
  <c r="H152" i="1"/>
  <c r="H191" i="1"/>
  <c r="H223" i="1"/>
  <c r="H262" i="1"/>
  <c r="H359" i="1"/>
  <c r="H441" i="1"/>
  <c r="H525" i="1"/>
  <c r="H608" i="1"/>
  <c r="H694" i="1"/>
  <c r="H119" i="1"/>
  <c r="H140" i="1"/>
  <c r="H172" i="1"/>
  <c r="H204" i="1"/>
  <c r="H243" i="1"/>
  <c r="H308" i="1"/>
  <c r="H351" i="1"/>
  <c r="H530" i="1"/>
  <c r="H6" i="1"/>
  <c r="H14" i="1"/>
  <c r="H30" i="1"/>
  <c r="H38" i="1"/>
  <c r="H54" i="1"/>
  <c r="H70" i="1"/>
  <c r="H82" i="1"/>
  <c r="H94" i="1"/>
  <c r="H110" i="1"/>
  <c r="H142" i="1"/>
  <c r="H199" i="1"/>
  <c r="H116" i="1"/>
  <c r="H122" i="1"/>
  <c r="H127" i="1"/>
  <c r="H132" i="1"/>
  <c r="H138" i="1"/>
  <c r="H156" i="1"/>
  <c r="H163" i="1"/>
  <c r="H170" i="1"/>
  <c r="H188" i="1"/>
  <c r="H195" i="1"/>
  <c r="H202" i="1"/>
  <c r="H220" i="1"/>
  <c r="H227" i="1"/>
  <c r="H234" i="1"/>
  <c r="H252" i="1"/>
  <c r="H259" i="1"/>
  <c r="H266" i="1"/>
  <c r="H286" i="1"/>
  <c r="H295" i="1"/>
  <c r="H306" i="1"/>
  <c r="H326" i="1"/>
  <c r="H346" i="1"/>
  <c r="H356" i="1"/>
  <c r="H367" i="1"/>
  <c r="H382" i="1"/>
  <c r="H433" i="1"/>
  <c r="H450" i="1"/>
  <c r="H461" i="1"/>
  <c r="H478" i="1"/>
  <c r="H493" i="1"/>
  <c r="H506" i="1"/>
  <c r="H523" i="1"/>
  <c r="H535" i="1"/>
  <c r="H577" i="1"/>
  <c r="H641" i="1"/>
  <c r="H705" i="1"/>
  <c r="H551" i="1"/>
  <c r="H562" i="1"/>
  <c r="H572" i="1"/>
  <c r="H583" i="1"/>
  <c r="H594" i="1"/>
  <c r="H604" i="1"/>
  <c r="H615" i="1"/>
  <c r="H626" i="1"/>
  <c r="H636" i="1"/>
  <c r="H647" i="1"/>
  <c r="H658" i="1"/>
  <c r="H668" i="1"/>
  <c r="H679" i="1"/>
  <c r="H690" i="1"/>
  <c r="H700" i="1"/>
  <c r="H711" i="1"/>
  <c r="H722" i="1"/>
  <c r="H732" i="1"/>
  <c r="H743" i="1"/>
  <c r="H748" i="1"/>
  <c r="H273" i="1"/>
  <c r="H282" i="1"/>
  <c r="H297" i="1"/>
  <c r="H303" i="1"/>
  <c r="H310" i="1"/>
  <c r="H328" i="1"/>
  <c r="H335" i="1"/>
  <c r="H342" i="1"/>
  <c r="H362" i="1"/>
  <c r="H370" i="1"/>
  <c r="H378" i="1"/>
  <c r="H386" i="1"/>
  <c r="H394" i="1"/>
  <c r="H402" i="1"/>
  <c r="H410" i="1"/>
  <c r="H418" i="1"/>
  <c r="H427" i="1"/>
  <c r="H436" i="1"/>
  <c r="H473" i="1"/>
  <c r="H482" i="1"/>
  <c r="H491" i="1"/>
  <c r="H500" i="1"/>
  <c r="H549" i="1"/>
  <c r="H581" i="1"/>
  <c r="H613" i="1"/>
  <c r="H645" i="1"/>
  <c r="H677" i="1"/>
  <c r="H709" i="1"/>
  <c r="H741" i="1"/>
  <c r="H141" i="1"/>
  <c r="H145" i="1"/>
  <c r="H149" i="1"/>
  <c r="H153" i="1"/>
  <c r="H157" i="1"/>
  <c r="H161" i="1"/>
  <c r="H165" i="1"/>
  <c r="H169" i="1"/>
  <c r="H173" i="1"/>
  <c r="H177" i="1"/>
  <c r="H181" i="1"/>
  <c r="H185" i="1"/>
  <c r="H189" i="1"/>
  <c r="H193" i="1"/>
  <c r="H197" i="1"/>
  <c r="H201" i="1"/>
  <c r="H205" i="1"/>
  <c r="H209" i="1"/>
  <c r="H213" i="1"/>
  <c r="H217" i="1"/>
  <c r="H221" i="1"/>
  <c r="H225" i="1"/>
  <c r="H229" i="1"/>
  <c r="H233" i="1"/>
  <c r="H237" i="1"/>
  <c r="H241" i="1"/>
  <c r="H245" i="1"/>
  <c r="H249" i="1"/>
  <c r="H253" i="1"/>
  <c r="H257" i="1"/>
  <c r="H261" i="1"/>
  <c r="H265" i="1"/>
  <c r="H269" i="1"/>
  <c r="H278" i="1"/>
  <c r="H287" i="1"/>
  <c r="H292" i="1"/>
  <c r="H298" i="1"/>
  <c r="H316" i="1"/>
  <c r="H323" i="1"/>
  <c r="H330" i="1"/>
  <c r="H348" i="1"/>
  <c r="H355" i="1"/>
  <c r="H437" i="1"/>
  <c r="H446" i="1"/>
  <c r="H455" i="1"/>
  <c r="H464" i="1"/>
  <c r="H501" i="1"/>
  <c r="H510" i="1"/>
  <c r="H519" i="1"/>
  <c r="H528" i="1"/>
  <c r="H539" i="1"/>
  <c r="H550" i="1"/>
  <c r="H560" i="1"/>
  <c r="H571" i="1"/>
  <c r="H582" i="1"/>
  <c r="H592" i="1"/>
  <c r="H603" i="1"/>
  <c r="H614" i="1"/>
  <c r="H624" i="1"/>
  <c r="H635" i="1"/>
  <c r="H646" i="1"/>
  <c r="H656" i="1"/>
  <c r="H667" i="1"/>
  <c r="H678" i="1"/>
  <c r="H688" i="1"/>
  <c r="H699" i="1"/>
  <c r="H710" i="1"/>
  <c r="H720" i="1"/>
  <c r="H731" i="1"/>
  <c r="H742" i="1"/>
  <c r="H752" i="1"/>
  <c r="H274" i="1"/>
  <c r="H283" i="1"/>
  <c r="H293" i="1"/>
  <c r="H304" i="1"/>
  <c r="H311" i="1"/>
  <c r="H318" i="1"/>
  <c r="H336" i="1"/>
  <c r="H343" i="1"/>
  <c r="H350" i="1"/>
  <c r="H363" i="1"/>
  <c r="H371" i="1"/>
  <c r="H379" i="1"/>
  <c r="H387" i="1"/>
  <c r="H395" i="1"/>
  <c r="H403" i="1"/>
  <c r="H411" i="1"/>
  <c r="H419" i="1"/>
  <c r="H428" i="1"/>
  <c r="H465" i="1"/>
  <c r="H474" i="1"/>
  <c r="H483" i="1"/>
  <c r="H492" i="1"/>
  <c r="H529" i="1"/>
  <c r="H561" i="1"/>
  <c r="H593" i="1"/>
  <c r="H625" i="1"/>
  <c r="H657" i="1"/>
  <c r="H689" i="1"/>
  <c r="H721" i="1"/>
  <c r="H753" i="1"/>
  <c r="H422" i="1"/>
  <c r="H431" i="1"/>
  <c r="H440" i="1"/>
  <c r="H445" i="1"/>
  <c r="H454" i="1"/>
  <c r="H463" i="1"/>
  <c r="H472" i="1"/>
  <c r="H477" i="1"/>
  <c r="H486" i="1"/>
  <c r="H495" i="1"/>
  <c r="H504" i="1"/>
  <c r="H509" i="1"/>
  <c r="H518" i="1"/>
  <c r="H527" i="1"/>
  <c r="H532" i="1"/>
  <c r="H538" i="1"/>
  <c r="H543" i="1"/>
  <c r="H548" i="1"/>
  <c r="H554" i="1"/>
  <c r="H559" i="1"/>
  <c r="H564" i="1"/>
  <c r="H570" i="1"/>
  <c r="H575" i="1"/>
  <c r="H580" i="1"/>
  <c r="H586" i="1"/>
  <c r="H591" i="1"/>
  <c r="H596" i="1"/>
  <c r="H602" i="1"/>
  <c r="H607" i="1"/>
  <c r="H612" i="1"/>
  <c r="H618" i="1"/>
  <c r="H623" i="1"/>
  <c r="H628" i="1"/>
  <c r="H634" i="1"/>
  <c r="H639" i="1"/>
  <c r="H644" i="1"/>
  <c r="H650" i="1"/>
  <c r="H655" i="1"/>
  <c r="H660" i="1"/>
  <c r="H666" i="1"/>
  <c r="H671" i="1"/>
  <c r="H676" i="1"/>
  <c r="H682" i="1"/>
  <c r="H687" i="1"/>
  <c r="H692" i="1"/>
  <c r="H698" i="1"/>
  <c r="H703" i="1"/>
  <c r="H708" i="1"/>
  <c r="H714" i="1"/>
  <c r="H719" i="1"/>
  <c r="H724" i="1"/>
  <c r="H730" i="1"/>
  <c r="H735" i="1"/>
  <c r="H740" i="1"/>
  <c r="H746" i="1"/>
  <c r="H751" i="1"/>
  <c r="H360" i="1"/>
  <c r="H364" i="1"/>
  <c r="H368" i="1"/>
  <c r="H372" i="1"/>
  <c r="H376" i="1"/>
  <c r="H380" i="1"/>
  <c r="H384" i="1"/>
  <c r="H388" i="1"/>
  <c r="H392" i="1"/>
  <c r="H396" i="1"/>
  <c r="H400" i="1"/>
  <c r="H404" i="1"/>
  <c r="H408" i="1"/>
  <c r="H412" i="1"/>
  <c r="H416" i="1"/>
  <c r="H420" i="1"/>
  <c r="H425" i="1"/>
  <c r="H434" i="1"/>
  <c r="H443" i="1"/>
  <c r="H452" i="1"/>
  <c r="H457" i="1"/>
  <c r="H466" i="1"/>
  <c r="H475" i="1"/>
  <c r="H484" i="1"/>
  <c r="H489" i="1"/>
  <c r="H498" i="1"/>
  <c r="H507" i="1"/>
  <c r="H516" i="1"/>
  <c r="H521" i="1"/>
  <c r="H541" i="1"/>
  <c r="H557" i="1"/>
  <c r="H573" i="1"/>
  <c r="H589" i="1"/>
  <c r="H605" i="1"/>
  <c r="H621" i="1"/>
  <c r="H637" i="1"/>
  <c r="H653" i="1"/>
  <c r="H669" i="1"/>
  <c r="H685" i="1"/>
  <c r="H701" i="1"/>
  <c r="H717" i="1"/>
  <c r="H733" i="1"/>
  <c r="H749" i="1"/>
  <c r="H755" i="1"/>
  <c r="H421" i="1"/>
  <c r="H430" i="1"/>
  <c r="H439" i="1"/>
  <c r="H448" i="1"/>
  <c r="H453" i="1"/>
  <c r="H462" i="1"/>
  <c r="H471" i="1"/>
  <c r="H480" i="1"/>
  <c r="H485" i="1"/>
  <c r="H494" i="1"/>
  <c r="H503" i="1"/>
  <c r="H512" i="1"/>
  <c r="H517" i="1"/>
  <c r="H526" i="1"/>
  <c r="H531" i="1"/>
  <c r="H536" i="1"/>
  <c r="H542" i="1"/>
  <c r="H547" i="1"/>
  <c r="H552" i="1"/>
  <c r="H558" i="1"/>
  <c r="H563" i="1"/>
  <c r="H568" i="1"/>
  <c r="H574" i="1"/>
  <c r="H579" i="1"/>
  <c r="H584" i="1"/>
  <c r="H590" i="1"/>
  <c r="H595" i="1"/>
  <c r="H600" i="1"/>
  <c r="H606" i="1"/>
  <c r="H611" i="1"/>
  <c r="H616" i="1"/>
  <c r="H622" i="1"/>
  <c r="H627" i="1"/>
  <c r="H632" i="1"/>
  <c r="H638" i="1"/>
  <c r="H643" i="1"/>
  <c r="H648" i="1"/>
  <c r="H654" i="1"/>
  <c r="H659" i="1"/>
  <c r="H664" i="1"/>
  <c r="H670" i="1"/>
  <c r="H675" i="1"/>
  <c r="H680" i="1"/>
  <c r="H686" i="1"/>
  <c r="H691" i="1"/>
  <c r="H696" i="1"/>
  <c r="H702" i="1"/>
  <c r="H707" i="1"/>
  <c r="H712" i="1"/>
  <c r="H718" i="1"/>
  <c r="H723" i="1"/>
  <c r="H728" i="1"/>
  <c r="H734" i="1"/>
  <c r="H739" i="1"/>
  <c r="H744" i="1"/>
  <c r="H750" i="1"/>
  <c r="H301" i="1"/>
  <c r="H305" i="1"/>
  <c r="H309" i="1"/>
  <c r="H313" i="1"/>
  <c r="H317" i="1"/>
  <c r="H321" i="1"/>
  <c r="H325" i="1"/>
  <c r="H329" i="1"/>
  <c r="H333" i="1"/>
  <c r="H337" i="1"/>
  <c r="H341" i="1"/>
  <c r="H345" i="1"/>
  <c r="H349" i="1"/>
  <c r="H353" i="1"/>
  <c r="H357" i="1"/>
  <c r="H361" i="1"/>
  <c r="H365" i="1"/>
  <c r="H369" i="1"/>
  <c r="H373" i="1"/>
  <c r="H377" i="1"/>
  <c r="H381" i="1"/>
  <c r="H385" i="1"/>
  <c r="H389" i="1"/>
  <c r="H393" i="1"/>
  <c r="H397" i="1"/>
  <c r="H401" i="1"/>
  <c r="H405" i="1"/>
  <c r="H409" i="1"/>
  <c r="H413" i="1"/>
  <c r="H417" i="1"/>
  <c r="H426" i="1"/>
  <c r="H435" i="1"/>
  <c r="H444" i="1"/>
  <c r="H449" i="1"/>
  <c r="H458" i="1"/>
  <c r="H467" i="1"/>
  <c r="H476" i="1"/>
  <c r="H481" i="1"/>
  <c r="H490" i="1"/>
  <c r="H499" i="1"/>
  <c r="H508" i="1"/>
  <c r="H513" i="1"/>
  <c r="H522" i="1"/>
  <c r="H537" i="1"/>
  <c r="H553" i="1"/>
  <c r="H569" i="1"/>
  <c r="H585" i="1"/>
  <c r="H601" i="1"/>
  <c r="H617" i="1"/>
  <c r="H633" i="1"/>
  <c r="H649" i="1"/>
  <c r="H665" i="1"/>
  <c r="H681" i="1"/>
  <c r="H697" i="1"/>
  <c r="H713" i="1"/>
  <c r="H729" i="1"/>
  <c r="H745" i="1"/>
  <c r="H756" i="1"/>
  <c r="H754" i="1"/>
  <c r="H757" i="1"/>
  <c r="H4" i="1"/>
  <c r="H5" i="1"/>
  <c r="Y65" i="1"/>
  <c r="Z65" i="1"/>
  <c r="AA65" i="1"/>
  <c r="Y66" i="1"/>
  <c r="Z66" i="1"/>
  <c r="AA66" i="1"/>
  <c r="Y67" i="1"/>
  <c r="Z67" i="1"/>
  <c r="AA67" i="1"/>
  <c r="Y68" i="1"/>
  <c r="Z68" i="1"/>
  <c r="AA68" i="1"/>
  <c r="Y69" i="1"/>
  <c r="Z69" i="1"/>
  <c r="AA69" i="1"/>
  <c r="Y70" i="1"/>
  <c r="Z70" i="1"/>
  <c r="AA70" i="1"/>
  <c r="Y71" i="1"/>
  <c r="Z71" i="1"/>
  <c r="AA71" i="1"/>
  <c r="Y72" i="1"/>
  <c r="Z72" i="1"/>
  <c r="AA72" i="1"/>
  <c r="Y73" i="1"/>
  <c r="Z73" i="1"/>
  <c r="AA73" i="1"/>
  <c r="Y74" i="1"/>
  <c r="Z74" i="1"/>
  <c r="AA74" i="1"/>
  <c r="Y75" i="1"/>
  <c r="Z75" i="1"/>
  <c r="AA75" i="1"/>
  <c r="Y76" i="1"/>
  <c r="Z76" i="1"/>
  <c r="AA76" i="1"/>
  <c r="Y77" i="1"/>
  <c r="Z77" i="1"/>
  <c r="AA77" i="1"/>
  <c r="Y78" i="1"/>
  <c r="Z78" i="1"/>
  <c r="AA78" i="1"/>
  <c r="Y79" i="1"/>
  <c r="Z79" i="1"/>
  <c r="AA79" i="1"/>
  <c r="Y80" i="1"/>
  <c r="Z80" i="1"/>
  <c r="AA80" i="1"/>
  <c r="Y81" i="1"/>
  <c r="Z81" i="1"/>
  <c r="AA81" i="1"/>
  <c r="Y82" i="1"/>
  <c r="Z82" i="1"/>
  <c r="AA82" i="1"/>
  <c r="Y83" i="1"/>
  <c r="Z83" i="1"/>
  <c r="AA83" i="1"/>
  <c r="Y84" i="1"/>
  <c r="Z84" i="1"/>
  <c r="AA84" i="1"/>
  <c r="K180" i="1" a="1"/>
  <c r="M180" i="1" a="1"/>
  <c r="J180" i="1" a="1"/>
  <c r="J195" i="1" a="1"/>
  <c r="M195" i="1" a="1"/>
  <c r="L195" i="1" a="1"/>
  <c r="K195" i="1" a="1"/>
  <c r="J275" i="1" a="1"/>
  <c r="M275" i="1" a="1"/>
  <c r="K275" i="1" a="1"/>
  <c r="J151" i="1" a="1"/>
  <c r="K151" i="1" a="1"/>
  <c r="M151" i="1" a="1"/>
  <c r="M214" i="1" a="1"/>
  <c r="J214" i="1" a="1"/>
  <c r="K214" i="1" a="1"/>
  <c r="L214" i="1" a="1"/>
  <c r="J333" i="1" a="1"/>
  <c r="L333" i="1" a="1"/>
  <c r="M333" i="1" a="1"/>
  <c r="K333" i="1" a="1"/>
  <c r="M286" i="1" a="1"/>
  <c r="K286" i="1" a="1"/>
  <c r="L286" i="1" a="1"/>
  <c r="J286" i="1" a="1"/>
  <c r="K302" i="1" a="1"/>
  <c r="L302" i="1" a="1"/>
  <c r="M302" i="1" a="1"/>
  <c r="J302" i="1" a="1"/>
  <c r="J308" i="1" a="1"/>
  <c r="K308" i="1" a="1"/>
  <c r="M308" i="1" a="1"/>
  <c r="M184" i="1" a="1"/>
  <c r="K184" i="1" a="1"/>
  <c r="J184" i="1" a="1"/>
  <c r="M267" i="1" a="1"/>
  <c r="J267" i="1" a="1"/>
  <c r="L267" i="1" a="1"/>
  <c r="K267" i="1" a="1"/>
  <c r="M252" i="1" a="1"/>
  <c r="K252" i="1" a="1"/>
  <c r="J252" i="1" a="1"/>
  <c r="J206" i="1" a="1"/>
  <c r="K206" i="1" a="1"/>
  <c r="M206" i="1" a="1"/>
  <c r="J271" i="1" a="1"/>
  <c r="M271" i="1" a="1"/>
  <c r="K271" i="1" a="1"/>
  <c r="J199" i="1" a="1"/>
  <c r="M199" i="1" a="1"/>
  <c r="K199" i="1" a="1"/>
  <c r="K246" i="1" a="1"/>
  <c r="J246" i="1" a="1"/>
  <c r="M246" i="1" a="1"/>
  <c r="L156" i="1" a="1"/>
  <c r="J156" i="1" a="1"/>
  <c r="K156" i="1" a="1"/>
  <c r="M156" i="1" a="1"/>
  <c r="J234" i="1" a="1"/>
  <c r="K234" i="1" a="1"/>
  <c r="M234" i="1" a="1"/>
  <c r="K318" i="1" a="1"/>
  <c r="L318" i="1" a="1"/>
  <c r="M318" i="1" a="1"/>
  <c r="J318" i="1" a="1"/>
  <c r="M336" i="1" a="1"/>
  <c r="K336" i="1" a="1"/>
  <c r="J336" i="1" a="1"/>
  <c r="M290" i="1" a="1"/>
  <c r="K290" i="1" a="1"/>
  <c r="J290" i="1" a="1"/>
  <c r="J468" i="1" a="1"/>
  <c r="M468" i="1" a="1"/>
  <c r="K468" i="1" a="1"/>
  <c r="L468" i="1" a="1"/>
  <c r="J189" i="1" a="1"/>
  <c r="K189" i="1" a="1"/>
  <c r="L189" i="1" a="1"/>
  <c r="M189" i="1" a="1"/>
  <c r="K221" i="1" a="1"/>
  <c r="L221" i="1" a="1"/>
  <c r="J221" i="1" a="1"/>
  <c r="M221" i="1" a="1"/>
  <c r="J253" i="1" a="1"/>
  <c r="K253" i="1" a="1"/>
  <c r="L253" i="1" a="1"/>
  <c r="M253" i="1" a="1"/>
  <c r="M289" i="1" a="1"/>
  <c r="J289" i="1" a="1"/>
  <c r="L289" i="1" a="1"/>
  <c r="K289" i="1" a="1"/>
  <c r="M409" i="1" a="1"/>
  <c r="J409" i="1" a="1"/>
  <c r="K409" i="1" a="1"/>
  <c r="L343" i="1" a="1"/>
  <c r="M343" i="1" a="1"/>
  <c r="J343" i="1" a="1"/>
  <c r="K343" i="1" a="1"/>
  <c r="M472" i="1" a="1"/>
  <c r="J472" i="1" a="1"/>
  <c r="K472" i="1" a="1"/>
  <c r="L472" i="1" a="1"/>
  <c r="J379" i="1" a="1"/>
  <c r="L379" i="1" a="1"/>
  <c r="M379" i="1" a="1"/>
  <c r="K379" i="1" a="1"/>
  <c r="M630" i="1" a="1"/>
  <c r="K630" i="1" a="1"/>
  <c r="L630" i="1" a="1"/>
  <c r="J630" i="1" a="1"/>
  <c r="K299" i="1" a="1"/>
  <c r="L299" i="1" a="1"/>
  <c r="J299" i="1" a="1"/>
  <c r="M299" i="1" a="1"/>
  <c r="J331" i="1" a="1"/>
  <c r="K331" i="1" a="1"/>
  <c r="M331" i="1" a="1"/>
  <c r="M376" i="1" a="1"/>
  <c r="L376" i="1" a="1"/>
  <c r="K376" i="1" a="1"/>
  <c r="J376" i="1" a="1"/>
  <c r="J416" i="1" a="1"/>
  <c r="M416" i="1" a="1"/>
  <c r="K416" i="1" a="1"/>
  <c r="L416" i="1" a="1"/>
  <c r="J737" i="1" a="1"/>
  <c r="M737" i="1" a="1"/>
  <c r="L737" i="1" a="1"/>
  <c r="K737" i="1" a="1"/>
  <c r="M501" i="1" a="1"/>
  <c r="J501" i="1" a="1"/>
  <c r="K501" i="1" a="1"/>
  <c r="J377" i="1" a="1"/>
  <c r="K377" i="1" a="1"/>
  <c r="M377" i="1" a="1"/>
  <c r="J464" i="1" a="1"/>
  <c r="M464" i="1" a="1"/>
  <c r="K464" i="1" a="1"/>
  <c r="J420" i="1" a="1"/>
  <c r="M420" i="1" a="1"/>
  <c r="K420" i="1" a="1"/>
  <c r="L420" i="1" a="1"/>
  <c r="L566" i="1" a="1"/>
  <c r="J566" i="1" a="1"/>
  <c r="M566" i="1" a="1"/>
  <c r="K566" i="1" a="1"/>
  <c r="J496" i="1" a="1"/>
  <c r="M496" i="1" a="1"/>
  <c r="K496" i="1" a="1"/>
  <c r="L496" i="1" a="1"/>
  <c r="M574" i="1" a="1"/>
  <c r="J574" i="1" a="1"/>
  <c r="K574" i="1" a="1"/>
  <c r="K585" i="1" a="1"/>
  <c r="J585" i="1" a="1"/>
  <c r="M585" i="1" a="1"/>
  <c r="L585" i="1" a="1"/>
  <c r="L406" i="1" a="1"/>
  <c r="K406" i="1" a="1"/>
  <c r="M406" i="1" a="1"/>
  <c r="J406" i="1" a="1"/>
  <c r="K438" i="1" a="1"/>
  <c r="L438" i="1" a="1"/>
  <c r="M438" i="1" a="1"/>
  <c r="J438" i="1" a="1"/>
  <c r="L470" i="1" a="1"/>
  <c r="K470" i="1" a="1"/>
  <c r="M470" i="1" a="1"/>
  <c r="J470" i="1" a="1"/>
  <c r="M519" i="1" a="1"/>
  <c r="J519" i="1" a="1"/>
  <c r="K519" i="1" a="1"/>
  <c r="L686" i="1" a="1"/>
  <c r="M686" i="1" a="1"/>
  <c r="K686" i="1" a="1"/>
  <c r="J686" i="1" a="1"/>
  <c r="K623" i="1" a="1"/>
  <c r="L623" i="1" a="1"/>
  <c r="M623" i="1" a="1"/>
  <c r="J623" i="1" a="1"/>
  <c r="K415" i="1" a="1"/>
  <c r="J415" i="1" a="1"/>
  <c r="M415" i="1" a="1"/>
  <c r="K447" i="1" a="1"/>
  <c r="J447" i="1" a="1"/>
  <c r="M447" i="1" a="1"/>
  <c r="J479" i="1" a="1"/>
  <c r="K479" i="1" a="1"/>
  <c r="L479" i="1" a="1"/>
  <c r="M479" i="1" a="1"/>
  <c r="J529" i="1" a="1"/>
  <c r="M529" i="1" a="1"/>
  <c r="K529" i="1" a="1"/>
  <c r="K596" i="1" a="1"/>
  <c r="M596" i="1" a="1"/>
  <c r="J596" i="1" a="1"/>
  <c r="K534" i="1" a="1"/>
  <c r="J534" i="1" a="1"/>
  <c r="M534" i="1" a="1"/>
  <c r="K587" i="1" a="1"/>
  <c r="J587" i="1" a="1"/>
  <c r="M587" i="1" a="1"/>
  <c r="L684" i="1" a="1"/>
  <c r="M684" i="1" a="1"/>
  <c r="J684" i="1" a="1"/>
  <c r="K684" i="1" a="1"/>
  <c r="J535" i="1" a="1"/>
  <c r="K535" i="1" a="1"/>
  <c r="M535" i="1" a="1"/>
  <c r="J620" i="1" a="1"/>
  <c r="K620" i="1" a="1"/>
  <c r="M620" i="1" a="1"/>
  <c r="J607" i="1" a="1"/>
  <c r="L607" i="1" a="1"/>
  <c r="M607" i="1" a="1"/>
  <c r="K607" i="1" a="1"/>
  <c r="K719" i="1" a="1"/>
  <c r="J719" i="1" a="1"/>
  <c r="L719" i="1" a="1"/>
  <c r="M719" i="1" a="1"/>
  <c r="K572" i="1" a="1"/>
  <c r="J572" i="1" a="1"/>
  <c r="M572" i="1" a="1"/>
  <c r="M609" i="1" a="1"/>
  <c r="L609" i="1" a="1"/>
  <c r="J609" i="1" a="1"/>
  <c r="K609" i="1" a="1"/>
  <c r="M753" i="1" a="1"/>
  <c r="J753" i="1" a="1"/>
  <c r="K753" i="1" a="1"/>
  <c r="M685" i="1" a="1"/>
  <c r="L685" i="1" a="1"/>
  <c r="J685" i="1" a="1"/>
  <c r="K685" i="1" a="1"/>
  <c r="M738" i="1" a="1"/>
  <c r="J738" i="1" a="1"/>
  <c r="K738" i="1" a="1"/>
  <c r="L738" i="1" a="1"/>
  <c r="L733" i="1" a="1"/>
  <c r="M733" i="1" a="1"/>
  <c r="J733" i="1" a="1"/>
  <c r="K733" i="1" a="1"/>
  <c r="L662" i="1" a="1"/>
  <c r="J662" i="1" a="1"/>
  <c r="M662" i="1" a="1"/>
  <c r="K662" i="1" a="1"/>
  <c r="M655" i="1" a="1"/>
  <c r="K655" i="1" a="1"/>
  <c r="J655" i="1" a="1"/>
  <c r="L704" i="1" a="1"/>
  <c r="K704" i="1" a="1"/>
  <c r="M704" i="1" a="1"/>
  <c r="J704" i="1" a="1"/>
  <c r="K688" i="1" a="1"/>
  <c r="J688" i="1" a="1"/>
  <c r="L688" i="1" a="1"/>
  <c r="M688" i="1" a="1"/>
  <c r="K625" i="1" a="1"/>
  <c r="J625" i="1" a="1"/>
  <c r="M625" i="1" a="1"/>
  <c r="L689" i="1" a="1"/>
  <c r="J689" i="1" a="1"/>
  <c r="K689" i="1" a="1"/>
  <c r="M689" i="1" a="1"/>
  <c r="K722" i="1" a="1"/>
  <c r="J722" i="1" a="1"/>
  <c r="L722" i="1" a="1"/>
  <c r="M722" i="1" a="1"/>
  <c r="M710" i="1" a="1"/>
  <c r="J710" i="1" a="1"/>
  <c r="L710" i="1" a="1"/>
  <c r="K710" i="1" a="1"/>
  <c r="K298" i="1" a="1"/>
  <c r="M298" i="1" a="1"/>
  <c r="J298" i="1" a="1"/>
  <c r="K218" i="1" a="1"/>
  <c r="J218" i="1" a="1"/>
  <c r="M218" i="1" a="1"/>
  <c r="L218" i="1" a="1"/>
  <c r="K210" i="1" a="1"/>
  <c r="J210" i="1" a="1"/>
  <c r="M210" i="1" a="1"/>
  <c r="L210" i="1" a="1"/>
  <c r="J279" i="1" a="1"/>
  <c r="K279" i="1" a="1"/>
  <c r="L279" i="1" a="1"/>
  <c r="M279" i="1" a="1"/>
  <c r="K152" i="1" a="1"/>
  <c r="J152" i="1" a="1"/>
  <c r="M152" i="1" a="1"/>
  <c r="J219" i="1" a="1"/>
  <c r="L219" i="1" a="1"/>
  <c r="M219" i="1" a="1"/>
  <c r="K219" i="1" a="1"/>
  <c r="J347" i="1" a="1"/>
  <c r="K347" i="1" a="1"/>
  <c r="M347" i="1" a="1"/>
  <c r="L347" i="1" a="1"/>
  <c r="K368" i="1" a="1"/>
  <c r="M368" i="1" a="1"/>
  <c r="J368" i="1" a="1"/>
  <c r="J313" i="1" a="1"/>
  <c r="L313" i="1" a="1"/>
  <c r="M313" i="1" a="1"/>
  <c r="K313" i="1" a="1"/>
  <c r="K388" i="1" a="1"/>
  <c r="M388" i="1" a="1"/>
  <c r="J388" i="1" a="1"/>
  <c r="M248" i="1" a="1"/>
  <c r="L248" i="1" a="1"/>
  <c r="K248" i="1" a="1"/>
  <c r="J248" i="1" a="1"/>
  <c r="J280" i="1" a="1"/>
  <c r="K280" i="1" a="1"/>
  <c r="M280" i="1" a="1"/>
  <c r="M272" i="1" a="1"/>
  <c r="K272" i="1" a="1"/>
  <c r="J272" i="1" a="1"/>
  <c r="J207" i="1" a="1"/>
  <c r="M207" i="1" a="1"/>
  <c r="K207" i="1" a="1"/>
  <c r="J293" i="1" a="1"/>
  <c r="M293" i="1" a="1"/>
  <c r="K293" i="1" a="1"/>
  <c r="M242" i="1" a="1"/>
  <c r="K242" i="1" a="1"/>
  <c r="J242" i="1" a="1"/>
  <c r="M159" i="1" a="1"/>
  <c r="K159" i="1" a="1"/>
  <c r="J159" i="1" a="1"/>
  <c r="J170" i="1" a="1"/>
  <c r="K170" i="1" a="1"/>
  <c r="M170" i="1" a="1"/>
  <c r="J235" i="1" a="1"/>
  <c r="M235" i="1" a="1"/>
  <c r="K235" i="1" a="1"/>
  <c r="K322" i="1" a="1"/>
  <c r="M322" i="1" a="1"/>
  <c r="J322" i="1" a="1"/>
  <c r="J344" i="1" a="1"/>
  <c r="L344" i="1" a="1"/>
  <c r="M344" i="1" a="1"/>
  <c r="K344" i="1" a="1"/>
  <c r="M300" i="1" a="1"/>
  <c r="K300" i="1" a="1"/>
  <c r="J300" i="1" a="1"/>
  <c r="L300" i="1" a="1"/>
  <c r="M485" i="1" a="1"/>
  <c r="J485" i="1" a="1"/>
  <c r="K485" i="1" a="1"/>
  <c r="L193" i="1" a="1"/>
  <c r="K193" i="1" a="1"/>
  <c r="J193" i="1" a="1"/>
  <c r="M193" i="1" a="1"/>
  <c r="K225" i="1" a="1"/>
  <c r="L225" i="1" a="1"/>
  <c r="J225" i="1" a="1"/>
  <c r="M225" i="1" a="1"/>
  <c r="L257" i="1" a="1"/>
  <c r="K257" i="1" a="1"/>
  <c r="J257" i="1" a="1"/>
  <c r="M257" i="1" a="1"/>
  <c r="K304" i="1" a="1"/>
  <c r="M304" i="1" a="1"/>
  <c r="J304" i="1" a="1"/>
  <c r="J281" i="1" a="1"/>
  <c r="K281" i="1" a="1"/>
  <c r="M281" i="1" a="1"/>
  <c r="J348" i="1" a="1"/>
  <c r="K348" i="1" a="1"/>
  <c r="M348" i="1" a="1"/>
  <c r="M481" i="1" a="1"/>
  <c r="J481" i="1" a="1"/>
  <c r="K481" i="1" a="1"/>
  <c r="K384" i="1" a="1"/>
  <c r="M384" i="1" a="1"/>
  <c r="J384" i="1" a="1"/>
  <c r="J619" i="1" a="1"/>
  <c r="K619" i="1" a="1"/>
  <c r="M619" i="1" a="1"/>
  <c r="K303" i="1" a="1"/>
  <c r="L303" i="1" a="1"/>
  <c r="J303" i="1" a="1"/>
  <c r="M303" i="1" a="1"/>
  <c r="K338" i="1" a="1"/>
  <c r="M338" i="1" a="1"/>
  <c r="J338" i="1" a="1"/>
  <c r="M456" i="1" a="1"/>
  <c r="J456" i="1" a="1"/>
  <c r="K456" i="1" a="1"/>
  <c r="M432" i="1" a="1"/>
  <c r="J432" i="1" a="1"/>
  <c r="K432" i="1" a="1"/>
  <c r="L432" i="1" a="1"/>
  <c r="M397" i="1" a="1"/>
  <c r="L397" i="1" a="1"/>
  <c r="J397" i="1" a="1"/>
  <c r="K397" i="1" a="1"/>
  <c r="J515" i="1" a="1"/>
  <c r="K515" i="1" a="1"/>
  <c r="M515" i="1" a="1"/>
  <c r="K381" i="1" a="1"/>
  <c r="J381" i="1" a="1"/>
  <c r="M381" i="1" a="1"/>
  <c r="M465" i="1" a="1"/>
  <c r="J465" i="1" a="1"/>
  <c r="K465" i="1" a="1"/>
  <c r="L421" i="1" a="1"/>
  <c r="M421" i="1" a="1"/>
  <c r="J421" i="1" a="1"/>
  <c r="K421" i="1" a="1"/>
  <c r="K573" i="1" a="1"/>
  <c r="M573" i="1" a="1"/>
  <c r="J573" i="1" a="1"/>
  <c r="J510" i="1" a="1"/>
  <c r="L510" i="1" a="1"/>
  <c r="M510" i="1" a="1"/>
  <c r="K510" i="1" a="1"/>
  <c r="K579" i="1" a="1"/>
  <c r="M579" i="1" a="1"/>
  <c r="J579" i="1" a="1"/>
  <c r="K622" i="1" a="1"/>
  <c r="L622" i="1" a="1"/>
  <c r="J622" i="1" a="1"/>
  <c r="M622" i="1" a="1"/>
  <c r="K410" i="1" a="1"/>
  <c r="L410" i="1" a="1"/>
  <c r="M410" i="1" a="1"/>
  <c r="J410" i="1" a="1"/>
  <c r="K442" i="1" a="1"/>
  <c r="M442" i="1" a="1"/>
  <c r="J442" i="1" a="1"/>
  <c r="K474" i="1" a="1"/>
  <c r="M474" i="1" a="1"/>
  <c r="J474" i="1" a="1"/>
  <c r="L531" i="1" a="1"/>
  <c r="M531" i="1" a="1"/>
  <c r="J531" i="1" a="1"/>
  <c r="K531" i="1" a="1"/>
  <c r="J506" i="1" a="1"/>
  <c r="L506" i="1" a="1"/>
  <c r="M506" i="1" a="1"/>
  <c r="K506" i="1" a="1"/>
  <c r="J643" i="1" a="1"/>
  <c r="K643" i="1" a="1"/>
  <c r="M643" i="1" a="1"/>
  <c r="L643" i="1" a="1"/>
  <c r="K419" i="1" a="1"/>
  <c r="J419" i="1" a="1"/>
  <c r="M419" i="1" a="1"/>
  <c r="K451" i="1" a="1"/>
  <c r="J451" i="1" a="1"/>
  <c r="M451" i="1" a="1"/>
  <c r="K483" i="1" a="1"/>
  <c r="J483" i="1" a="1"/>
  <c r="M483" i="1" a="1"/>
  <c r="M555" i="1" a="1"/>
  <c r="L555" i="1" a="1"/>
  <c r="K555" i="1" a="1"/>
  <c r="J555" i="1" a="1"/>
  <c r="J604" i="1" a="1"/>
  <c r="M604" i="1" a="1"/>
  <c r="K604" i="1" a="1"/>
  <c r="K544" i="1" a="1"/>
  <c r="M544" i="1" a="1"/>
  <c r="J544" i="1" a="1"/>
  <c r="M594" i="1" a="1"/>
  <c r="K594" i="1" a="1"/>
  <c r="J594" i="1" a="1"/>
  <c r="K718" i="1" a="1"/>
  <c r="M718" i="1" a="1"/>
  <c r="J718" i="1" a="1"/>
  <c r="J546" i="1" a="1"/>
  <c r="K546" i="1" a="1"/>
  <c r="L546" i="1" a="1"/>
  <c r="M546" i="1" a="1"/>
  <c r="M632" i="1" a="1"/>
  <c r="J632" i="1" a="1"/>
  <c r="K632" i="1" a="1"/>
  <c r="J611" i="1" a="1"/>
  <c r="M611" i="1" a="1"/>
  <c r="K611" i="1" a="1"/>
  <c r="M739" i="1" a="1"/>
  <c r="K739" i="1" a="1"/>
  <c r="L739" i="1" a="1"/>
  <c r="J739" i="1" a="1"/>
  <c r="J576" i="1" a="1"/>
  <c r="L576" i="1" a="1"/>
  <c r="K576" i="1" a="1"/>
  <c r="M576" i="1" a="1"/>
  <c r="L633" i="1" a="1"/>
  <c r="M633" i="1" a="1"/>
  <c r="J633" i="1" a="1"/>
  <c r="K633" i="1" a="1"/>
  <c r="L589" i="1" a="1"/>
  <c r="J589" i="1" a="1"/>
  <c r="M589" i="1" a="1"/>
  <c r="K589" i="1" a="1"/>
  <c r="J693" i="1" a="1"/>
  <c r="K693" i="1" a="1"/>
  <c r="M693" i="1" a="1"/>
  <c r="J627" i="1" a="1"/>
  <c r="K627" i="1" a="1"/>
  <c r="M627" i="1" a="1"/>
  <c r="K743" i="1" a="1"/>
  <c r="J743" i="1" a="1"/>
  <c r="M743" i="1" a="1"/>
  <c r="M675" i="1" a="1"/>
  <c r="K675" i="1" a="1"/>
  <c r="J675" i="1" a="1"/>
  <c r="M665" i="1" a="1"/>
  <c r="K665" i="1" a="1"/>
  <c r="J665" i="1" a="1"/>
  <c r="M705" i="1" a="1"/>
  <c r="L705" i="1" a="1"/>
  <c r="J705" i="1" a="1"/>
  <c r="K705" i="1" a="1"/>
  <c r="K698" i="1" a="1"/>
  <c r="M698" i="1" a="1"/>
  <c r="J698" i="1" a="1"/>
  <c r="M626" i="1" a="1"/>
  <c r="J626" i="1" a="1"/>
  <c r="K626" i="1" a="1"/>
  <c r="J690" i="1" a="1"/>
  <c r="K690" i="1" a="1"/>
  <c r="L690" i="1" a="1"/>
  <c r="M690" i="1" a="1"/>
  <c r="K723" i="1" a="1"/>
  <c r="L723" i="1" a="1"/>
  <c r="J723" i="1" a="1"/>
  <c r="M723" i="1" a="1"/>
  <c r="J720" i="1" a="1"/>
  <c r="K720" i="1" a="1"/>
  <c r="M720" i="1" a="1"/>
  <c r="J274" i="1" a="1"/>
  <c r="M274" i="1" a="1"/>
  <c r="K274" i="1" a="1"/>
  <c r="L334" i="1" a="1"/>
  <c r="J334" i="1" a="1"/>
  <c r="M334" i="1" a="1"/>
  <c r="K334" i="1" a="1"/>
  <c r="J370" i="1" a="1"/>
  <c r="K370" i="1" a="1"/>
  <c r="M370" i="1" a="1"/>
  <c r="L370" i="1" a="1"/>
  <c r="M497" i="1" a="1"/>
  <c r="L497" i="1" a="1"/>
  <c r="J497" i="1" a="1"/>
  <c r="K497" i="1" a="1"/>
  <c r="J714" i="1" a="1"/>
  <c r="M714" i="1" a="1"/>
  <c r="K714" i="1" a="1"/>
  <c r="K559" i="1" a="1"/>
  <c r="M559" i="1" a="1"/>
  <c r="J559" i="1" a="1"/>
  <c r="K434" i="1" a="1"/>
  <c r="M434" i="1" a="1"/>
  <c r="J434" i="1" a="1"/>
  <c r="K603" i="1" a="1"/>
  <c r="J603" i="1" a="1"/>
  <c r="M603" i="1" a="1"/>
  <c r="K563" i="1" a="1"/>
  <c r="M563" i="1" a="1"/>
  <c r="J563" i="1" a="1"/>
  <c r="L634" i="1" a="1"/>
  <c r="M634" i="1" a="1"/>
  <c r="K634" i="1" a="1"/>
  <c r="J634" i="1" a="1"/>
  <c r="J605" i="1" a="1"/>
  <c r="M605" i="1" a="1"/>
  <c r="K605" i="1" a="1"/>
  <c r="J568" i="1" a="1"/>
  <c r="K568" i="1" a="1"/>
  <c r="M568" i="1" a="1"/>
  <c r="M713" i="1" a="1"/>
  <c r="J713" i="1" a="1"/>
  <c r="K713" i="1" a="1"/>
  <c r="M702" i="1" a="1"/>
  <c r="K702" i="1" a="1"/>
  <c r="J702" i="1" a="1"/>
  <c r="K703" i="1" a="1"/>
  <c r="M703" i="1" a="1"/>
  <c r="J703" i="1" a="1"/>
  <c r="L703" i="1" a="1"/>
  <c r="J679" i="1" a="1"/>
  <c r="K679" i="1" a="1"/>
  <c r="M679" i="1" a="1"/>
  <c r="J223" i="1" a="1"/>
  <c r="L223" i="1" a="1"/>
  <c r="M223" i="1" a="1"/>
  <c r="K223" i="1" a="1"/>
  <c r="L215" i="1" a="1"/>
  <c r="M215" i="1" a="1"/>
  <c r="J215" i="1" a="1"/>
  <c r="K215" i="1" a="1"/>
  <c r="J288" i="1" a="1"/>
  <c r="K288" i="1" a="1"/>
  <c r="M288" i="1" a="1"/>
  <c r="L288" i="1" a="1"/>
  <c r="L166" i="1" a="1"/>
  <c r="J166" i="1" a="1"/>
  <c r="K166" i="1" a="1"/>
  <c r="M166" i="1" a="1"/>
  <c r="M224" i="1" a="1"/>
  <c r="K224" i="1" a="1"/>
  <c r="L224" i="1" a="1"/>
  <c r="J224" i="1" a="1"/>
  <c r="K390" i="1" a="1"/>
  <c r="L390" i="1" a="1"/>
  <c r="M390" i="1" a="1"/>
  <c r="J390" i="1" a="1"/>
  <c r="M502" i="1" a="1"/>
  <c r="J502" i="1" a="1"/>
  <c r="L502" i="1" a="1"/>
  <c r="K502" i="1" a="1"/>
  <c r="J317" i="1" a="1"/>
  <c r="L317" i="1" a="1"/>
  <c r="M317" i="1" a="1"/>
  <c r="K317" i="1" a="1"/>
  <c r="K396" i="1" a="1"/>
  <c r="M396" i="1" a="1"/>
  <c r="J396" i="1" a="1"/>
  <c r="L396" i="1" a="1"/>
  <c r="M161" i="1" a="1"/>
  <c r="J161" i="1" a="1"/>
  <c r="K161" i="1" a="1"/>
  <c r="K158" i="1" a="1"/>
  <c r="M158" i="1" a="1"/>
  <c r="J158" i="1" a="1"/>
  <c r="M332" i="1" a="1"/>
  <c r="J332" i="1" a="1"/>
  <c r="K332" i="1" a="1"/>
  <c r="M212" i="1" a="1"/>
  <c r="K212" i="1" a="1"/>
  <c r="J212" i="1" a="1"/>
  <c r="M312" i="1" a="1"/>
  <c r="J312" i="1" a="1"/>
  <c r="K312" i="1" a="1"/>
  <c r="M164" i="1" a="1"/>
  <c r="K164" i="1" a="1"/>
  <c r="J164" i="1" a="1"/>
  <c r="K230" i="1" a="1"/>
  <c r="M230" i="1" a="1"/>
  <c r="J230" i="1" a="1"/>
  <c r="J171" i="1" a="1"/>
  <c r="M171" i="1" a="1"/>
  <c r="K171" i="1" a="1"/>
  <c r="K240" i="1" a="1"/>
  <c r="M240" i="1" a="1"/>
  <c r="J240" i="1" a="1"/>
  <c r="J363" i="1" a="1"/>
  <c r="L363" i="1" a="1"/>
  <c r="M363" i="1" a="1"/>
  <c r="K363" i="1" a="1"/>
  <c r="M346" i="1" a="1"/>
  <c r="J346" i="1" a="1"/>
  <c r="K346" i="1" a="1"/>
  <c r="M305" i="1" a="1"/>
  <c r="J305" i="1" a="1"/>
  <c r="K305" i="1" a="1"/>
  <c r="J509" i="1" a="1"/>
  <c r="K509" i="1" a="1"/>
  <c r="M509" i="1" a="1"/>
  <c r="L197" i="1" a="1"/>
  <c r="J197" i="1" a="1"/>
  <c r="K197" i="1" a="1"/>
  <c r="M197" i="1" a="1"/>
  <c r="K229" i="1" a="1"/>
  <c r="J229" i="1" a="1"/>
  <c r="M229" i="1" a="1"/>
  <c r="K261" i="1" a="1"/>
  <c r="J261" i="1" a="1"/>
  <c r="M261" i="1" a="1"/>
  <c r="L310" i="1" a="1"/>
  <c r="M310" i="1" a="1"/>
  <c r="K310" i="1" a="1"/>
  <c r="J310" i="1" a="1"/>
  <c r="J282" i="1" a="1"/>
  <c r="K282" i="1" a="1"/>
  <c r="M282" i="1" a="1"/>
  <c r="J362" i="1" a="1"/>
  <c r="M362" i="1" a="1"/>
  <c r="K362" i="1" a="1"/>
  <c r="L362" i="1" a="1"/>
  <c r="M489" i="1" a="1"/>
  <c r="J489" i="1" a="1"/>
  <c r="K489" i="1" a="1"/>
  <c r="L445" i="1" a="1"/>
  <c r="M445" i="1" a="1"/>
  <c r="J445" i="1" a="1"/>
  <c r="K445" i="1" a="1"/>
  <c r="K528" i="1" a="1"/>
  <c r="J528" i="1" a="1"/>
  <c r="M528" i="1" a="1"/>
  <c r="J307" i="1" a="1"/>
  <c r="K307" i="1" a="1"/>
  <c r="M307" i="1" a="1"/>
  <c r="J339" i="1" a="1"/>
  <c r="L339" i="1" a="1"/>
  <c r="M339" i="1" a="1"/>
  <c r="K339" i="1" a="1"/>
  <c r="J581" i="1" a="1"/>
  <c r="K581" i="1" a="1"/>
  <c r="M581" i="1" a="1"/>
  <c r="L581" i="1" a="1"/>
  <c r="M437" i="1" a="1"/>
  <c r="J437" i="1" a="1"/>
  <c r="K437" i="1" a="1"/>
  <c r="M400" i="1" a="1"/>
  <c r="J400" i="1" a="1"/>
  <c r="K400" i="1" a="1"/>
  <c r="L547" i="1" a="1"/>
  <c r="K547" i="1" a="1"/>
  <c r="M547" i="1" a="1"/>
  <c r="J547" i="1" a="1"/>
  <c r="K385" i="1" a="1"/>
  <c r="J385" i="1" a="1"/>
  <c r="M385" i="1" a="1"/>
  <c r="M476" i="1" a="1"/>
  <c r="J476" i="1" a="1"/>
  <c r="K476" i="1" a="1"/>
  <c r="L476" i="1" a="1"/>
  <c r="M425" i="1" a="1"/>
  <c r="J425" i="1" a="1"/>
  <c r="K425" i="1" a="1"/>
  <c r="M588" i="1" a="1"/>
  <c r="K588" i="1" a="1"/>
  <c r="J588" i="1" a="1"/>
  <c r="K511" i="1" a="1"/>
  <c r="L511" i="1" a="1"/>
  <c r="M511" i="1" a="1"/>
  <c r="J511" i="1" a="1"/>
  <c r="K505" i="1" a="1"/>
  <c r="M505" i="1" a="1"/>
  <c r="J505" i="1" a="1"/>
  <c r="M631" i="1" a="1"/>
  <c r="J631" i="1" a="1"/>
  <c r="K631" i="1" a="1"/>
  <c r="K414" i="1" a="1"/>
  <c r="M414" i="1" a="1"/>
  <c r="J414" i="1" a="1"/>
  <c r="K446" i="1" a="1"/>
  <c r="M446" i="1" a="1"/>
  <c r="J446" i="1" a="1"/>
  <c r="K478" i="1" a="1"/>
  <c r="L478" i="1" a="1"/>
  <c r="M478" i="1" a="1"/>
  <c r="J478" i="1" a="1"/>
  <c r="K536" i="1" a="1"/>
  <c r="J536" i="1" a="1"/>
  <c r="M536" i="1" a="1"/>
  <c r="M518" i="1" a="1"/>
  <c r="J518" i="1" a="1"/>
  <c r="K518" i="1" a="1"/>
  <c r="L518" i="1" a="1"/>
  <c r="J391" i="1" a="1"/>
  <c r="K391" i="1" a="1"/>
  <c r="M391" i="1" a="1"/>
  <c r="K423" i="1" a="1"/>
  <c r="J423" i="1" a="1"/>
  <c r="M423" i="1" a="1"/>
  <c r="J455" i="1" a="1"/>
  <c r="K455" i="1" a="1"/>
  <c r="L455" i="1" a="1"/>
  <c r="M455" i="1" a="1"/>
  <c r="K487" i="1" a="1"/>
  <c r="J487" i="1" a="1"/>
  <c r="L487" i="1" a="1"/>
  <c r="M487" i="1" a="1"/>
  <c r="M557" i="1" a="1"/>
  <c r="J557" i="1" a="1"/>
  <c r="K557" i="1" a="1"/>
  <c r="L557" i="1" a="1"/>
  <c r="J637" i="1" a="1"/>
  <c r="L637" i="1" a="1"/>
  <c r="K637" i="1" a="1"/>
  <c r="M637" i="1" a="1"/>
  <c r="M545" i="1" a="1"/>
  <c r="L545" i="1" a="1"/>
  <c r="J545" i="1" a="1"/>
  <c r="K545" i="1" a="1"/>
  <c r="M608" i="1" a="1"/>
  <c r="J608" i="1" a="1"/>
  <c r="K608" i="1" a="1"/>
  <c r="L608" i="1" a="1"/>
  <c r="K500" i="1" a="1"/>
  <c r="J500" i="1" a="1"/>
  <c r="M500" i="1" a="1"/>
  <c r="J550" i="1" a="1"/>
  <c r="M550" i="1" a="1"/>
  <c r="K550" i="1" a="1"/>
  <c r="J642" i="1" a="1"/>
  <c r="M642" i="1" a="1"/>
  <c r="K642" i="1" a="1"/>
  <c r="K624" i="1" a="1"/>
  <c r="L624" i="1" a="1"/>
  <c r="J624" i="1" a="1"/>
  <c r="M624" i="1" a="1"/>
  <c r="J548" i="1" a="1"/>
  <c r="K548" i="1" a="1"/>
  <c r="M548" i="1" a="1"/>
  <c r="K580" i="1" a="1"/>
  <c r="J580" i="1" a="1"/>
  <c r="M580" i="1" a="1"/>
  <c r="K645" i="1" a="1"/>
  <c r="M645" i="1" a="1"/>
  <c r="L645" i="1" a="1"/>
  <c r="J645" i="1" a="1"/>
  <c r="M613" i="1" a="1"/>
  <c r="K613" i="1" a="1"/>
  <c r="L613" i="1" a="1"/>
  <c r="J613" i="1" a="1"/>
  <c r="M715" i="1" a="1"/>
  <c r="J715" i="1" a="1"/>
  <c r="K715" i="1" a="1"/>
  <c r="M628" i="1" a="1"/>
  <c r="K628" i="1" a="1"/>
  <c r="J628" i="1" a="1"/>
  <c r="M752" i="1" a="1"/>
  <c r="J752" i="1" a="1"/>
  <c r="K752" i="1" a="1"/>
  <c r="M707" i="1" a="1"/>
  <c r="L707" i="1" a="1"/>
  <c r="K707" i="1" a="1"/>
  <c r="J707" i="1" a="1"/>
  <c r="M666" i="1" a="1"/>
  <c r="K666" i="1" a="1"/>
  <c r="J666" i="1" a="1"/>
  <c r="M730" i="1" a="1"/>
  <c r="K730" i="1" a="1"/>
  <c r="J730" i="1" a="1"/>
  <c r="M726" i="1" a="1"/>
  <c r="J726" i="1" a="1"/>
  <c r="K726" i="1" a="1"/>
  <c r="M636" i="1" a="1"/>
  <c r="J636" i="1" a="1"/>
  <c r="K636" i="1" a="1"/>
  <c r="K691" i="1" a="1"/>
  <c r="J691" i="1" a="1"/>
  <c r="M691" i="1" a="1"/>
  <c r="J724" i="1" a="1"/>
  <c r="K724" i="1" a="1"/>
  <c r="M724" i="1" a="1"/>
  <c r="L724" i="1" a="1"/>
  <c r="K731" i="1" a="1"/>
  <c r="M731" i="1" a="1"/>
  <c r="L731" i="1" a="1"/>
  <c r="J731" i="1" a="1"/>
  <c r="J190" i="1" a="1"/>
  <c r="K190" i="1" a="1"/>
  <c r="M190" i="1" a="1"/>
  <c r="L190" i="1" a="1"/>
  <c r="J378" i="1" a="1"/>
  <c r="K378" i="1" a="1"/>
  <c r="M378" i="1" a="1"/>
  <c r="M640" i="1" a="1"/>
  <c r="K640" i="1" a="1"/>
  <c r="J640" i="1" a="1"/>
  <c r="K373" i="1" a="1"/>
  <c r="J373" i="1" a="1"/>
  <c r="L373" i="1" a="1"/>
  <c r="M373" i="1" a="1"/>
  <c r="M538" i="1" a="1"/>
  <c r="J538" i="1" a="1"/>
  <c r="K538" i="1" a="1"/>
  <c r="M561" i="1" a="1"/>
  <c r="J561" i="1" a="1"/>
  <c r="K561" i="1" a="1"/>
  <c r="L466" i="1" a="1"/>
  <c r="K466" i="1" a="1"/>
  <c r="M466" i="1" a="1"/>
  <c r="J466" i="1" a="1"/>
  <c r="J670" i="1" a="1"/>
  <c r="K670" i="1" a="1"/>
  <c r="L670" i="1" a="1"/>
  <c r="M670" i="1" a="1"/>
  <c r="K443" i="1" a="1"/>
  <c r="J443" i="1" a="1"/>
  <c r="M443" i="1" a="1"/>
  <c r="K517" i="1" a="1"/>
  <c r="J517" i="1" a="1"/>
  <c r="M517" i="1" a="1"/>
  <c r="L517" i="1" a="1"/>
  <c r="J582" i="1" a="1"/>
  <c r="M582" i="1" a="1"/>
  <c r="K582" i="1" a="1"/>
  <c r="K592" i="1" a="1"/>
  <c r="J592" i="1" a="1"/>
  <c r="M592" i="1" a="1"/>
  <c r="L592" i="1" a="1"/>
  <c r="K600" i="1" a="1"/>
  <c r="L600" i="1" a="1"/>
  <c r="M600" i="1" a="1"/>
  <c r="J600" i="1" a="1"/>
  <c r="M683" i="1" a="1"/>
  <c r="J683" i="1" a="1"/>
  <c r="K683" i="1" a="1"/>
  <c r="L683" i="1" a="1"/>
  <c r="M649" i="1" a="1"/>
  <c r="J649" i="1" a="1"/>
  <c r="K649" i="1" a="1"/>
  <c r="L649" i="1" a="1"/>
  <c r="K678" i="1" a="1"/>
  <c r="J678" i="1" a="1"/>
  <c r="M678" i="1" a="1"/>
  <c r="M709" i="1" a="1"/>
  <c r="J709" i="1" a="1"/>
  <c r="L709" i="1" a="1"/>
  <c r="K709" i="1" a="1"/>
  <c r="M163" i="1" a="1"/>
  <c r="K163" i="1" a="1"/>
  <c r="J163" i="1" a="1"/>
  <c r="L163" i="1" a="1"/>
  <c r="K220" i="1" a="1"/>
  <c r="L220" i="1" a="1"/>
  <c r="M220" i="1" a="1"/>
  <c r="J220" i="1" a="1"/>
  <c r="M316" i="1" a="1"/>
  <c r="J316" i="1" a="1"/>
  <c r="K316" i="1" a="1"/>
  <c r="L316" i="1" a="1"/>
  <c r="J167" i="1" a="1"/>
  <c r="L167" i="1" a="1"/>
  <c r="K167" i="1" a="1"/>
  <c r="M167" i="1" a="1"/>
  <c r="J238" i="1" a="1"/>
  <c r="K238" i="1" a="1"/>
  <c r="M238" i="1" a="1"/>
  <c r="L238" i="1" a="1"/>
  <c r="M436" i="1" a="1"/>
  <c r="J436" i="1" a="1"/>
  <c r="K436" i="1" a="1"/>
  <c r="L436" i="1" a="1"/>
  <c r="M262" i="1" a="1"/>
  <c r="J262" i="1" a="1"/>
  <c r="K262" i="1" a="1"/>
  <c r="M321" i="1" a="1"/>
  <c r="J321" i="1" a="1"/>
  <c r="L321" i="1" a="1"/>
  <c r="K321" i="1" a="1"/>
  <c r="M174" i="1" a="1"/>
  <c r="K174" i="1" a="1"/>
  <c r="J174" i="1" a="1"/>
  <c r="M183" i="1" a="1"/>
  <c r="J183" i="1" a="1"/>
  <c r="L183" i="1" a="1"/>
  <c r="K183" i="1" a="1"/>
  <c r="J160" i="1" a="1"/>
  <c r="M160" i="1" a="1"/>
  <c r="K160" i="1" a="1"/>
  <c r="K372" i="1" a="1"/>
  <c r="M372" i="1" a="1"/>
  <c r="J372" i="1" a="1"/>
  <c r="M236" i="1" a="1"/>
  <c r="K236" i="1" a="1"/>
  <c r="J236" i="1" a="1"/>
  <c r="K328" i="1" a="1"/>
  <c r="J328" i="1" a="1"/>
  <c r="M328" i="1" a="1"/>
  <c r="M179" i="1" a="1"/>
  <c r="J179" i="1" a="1"/>
  <c r="K179" i="1" a="1"/>
  <c r="M266" i="1" a="1"/>
  <c r="K266" i="1" a="1"/>
  <c r="J266" i="1" a="1"/>
  <c r="L266" i="1" a="1"/>
  <c r="K172" i="1" a="1"/>
  <c r="M172" i="1" a="1"/>
  <c r="J172" i="1" a="1"/>
  <c r="J255" i="1" a="1"/>
  <c r="M255" i="1" a="1"/>
  <c r="L255" i="1" a="1"/>
  <c r="K255" i="1" a="1"/>
  <c r="J382" i="1" a="1"/>
  <c r="M382" i="1" a="1"/>
  <c r="K382" i="1" a="1"/>
  <c r="L382" i="1" a="1"/>
  <c r="M380" i="1" a="1"/>
  <c r="K380" i="1" a="1"/>
  <c r="J380" i="1" a="1"/>
  <c r="K320" i="1" a="1"/>
  <c r="M320" i="1" a="1"/>
  <c r="J320" i="1" a="1"/>
  <c r="L320" i="1" a="1"/>
  <c r="J537" i="1" a="1"/>
  <c r="K537" i="1" a="1"/>
  <c r="M537" i="1" a="1"/>
  <c r="K201" i="1" a="1"/>
  <c r="J201" i="1" a="1"/>
  <c r="M201" i="1" a="1"/>
  <c r="J233" i="1" a="1"/>
  <c r="K233" i="1" a="1"/>
  <c r="M233" i="1" a="1"/>
  <c r="J265" i="1" a="1"/>
  <c r="K265" i="1" a="1"/>
  <c r="L265" i="1" a="1"/>
  <c r="M265" i="1" a="1"/>
  <c r="K324" i="1" a="1"/>
  <c r="M324" i="1" a="1"/>
  <c r="J324" i="1" a="1"/>
  <c r="J283" i="1" a="1"/>
  <c r="K283" i="1" a="1"/>
  <c r="L283" i="1" a="1"/>
  <c r="M283" i="1" a="1"/>
  <c r="M366" i="1" a="1"/>
  <c r="K366" i="1" a="1"/>
  <c r="J366" i="1" a="1"/>
  <c r="J349" i="1" a="1"/>
  <c r="K349" i="1" a="1"/>
  <c r="L349" i="1" a="1"/>
  <c r="M349" i="1" a="1"/>
  <c r="M469" i="1" a="1"/>
  <c r="J469" i="1" a="1"/>
  <c r="K469" i="1" a="1"/>
  <c r="M539" i="1" a="1"/>
  <c r="J539" i="1" a="1"/>
  <c r="K539" i="1" a="1"/>
  <c r="L539" i="1" a="1"/>
  <c r="L311" i="1" a="1"/>
  <c r="J311" i="1" a="1"/>
  <c r="K311" i="1" a="1"/>
  <c r="M311" i="1" a="1"/>
  <c r="K340" i="1" a="1"/>
  <c r="L340" i="1" a="1"/>
  <c r="M340" i="1" a="1"/>
  <c r="J340" i="1" a="1"/>
  <c r="M734" i="1" a="1"/>
  <c r="J734" i="1" a="1"/>
  <c r="K734" i="1" a="1"/>
  <c r="L734" i="1" a="1"/>
  <c r="M461" i="1" a="1"/>
  <c r="J461" i="1" a="1"/>
  <c r="K461" i="1" a="1"/>
  <c r="M405" i="1" a="1"/>
  <c r="J405" i="1" a="1"/>
  <c r="K405" i="1" a="1"/>
  <c r="J357" i="1" a="1"/>
  <c r="L357" i="1" a="1"/>
  <c r="K357" i="1" a="1"/>
  <c r="M357" i="1" a="1"/>
  <c r="K389" i="1" a="1"/>
  <c r="J389" i="1" a="1"/>
  <c r="M389" i="1" a="1"/>
  <c r="K521" i="1" a="1"/>
  <c r="M521" i="1" a="1"/>
  <c r="J521" i="1" a="1"/>
  <c r="J448" i="1" a="1"/>
  <c r="M448" i="1" a="1"/>
  <c r="K448" i="1" a="1"/>
  <c r="L448" i="1" a="1"/>
  <c r="J606" i="1" a="1"/>
  <c r="M606" i="1" a="1"/>
  <c r="K606" i="1" a="1"/>
  <c r="J516" i="1" a="1"/>
  <c r="K516" i="1" a="1"/>
  <c r="M516" i="1" a="1"/>
  <c r="L516" i="1" a="1"/>
  <c r="M520" i="1" a="1"/>
  <c r="J520" i="1" a="1"/>
  <c r="K520" i="1" a="1"/>
  <c r="M652" i="1" a="1"/>
  <c r="K652" i="1" a="1"/>
  <c r="J652" i="1" a="1"/>
  <c r="K418" i="1" a="1"/>
  <c r="M418" i="1" a="1"/>
  <c r="J418" i="1" a="1"/>
  <c r="K450" i="1" a="1"/>
  <c r="M450" i="1" a="1"/>
  <c r="J450" i="1" a="1"/>
  <c r="K482" i="1" a="1"/>
  <c r="M482" i="1" a="1"/>
  <c r="J482" i="1" a="1"/>
  <c r="M553" i="1" a="1"/>
  <c r="K553" i="1" a="1"/>
  <c r="J553" i="1" a="1"/>
  <c r="L553" i="1" a="1"/>
  <c r="J530" i="1" a="1"/>
  <c r="M530" i="1" a="1"/>
  <c r="L530" i="1" a="1"/>
  <c r="K530" i="1" a="1"/>
  <c r="L395" i="1" a="1"/>
  <c r="J395" i="1" a="1"/>
  <c r="K395" i="1" a="1"/>
  <c r="M395" i="1" a="1"/>
  <c r="K427" i="1" a="1"/>
  <c r="J427" i="1" a="1"/>
  <c r="L427" i="1" a="1"/>
  <c r="M427" i="1" a="1"/>
  <c r="K459" i="1" a="1"/>
  <c r="J459" i="1" a="1"/>
  <c r="L459" i="1" a="1"/>
  <c r="M459" i="1" a="1"/>
  <c r="K491" i="1" a="1"/>
  <c r="J491" i="1" a="1"/>
  <c r="L491" i="1" a="1"/>
  <c r="M491" i="1" a="1"/>
  <c r="M641" i="1" a="1"/>
  <c r="J641" i="1" a="1"/>
  <c r="K641" i="1" a="1"/>
  <c r="M653" i="1" a="1"/>
  <c r="J653" i="1" a="1"/>
  <c r="K653" i="1" a="1"/>
  <c r="J549" i="1" a="1"/>
  <c r="M549" i="1" a="1"/>
  <c r="K549" i="1" a="1"/>
  <c r="M612" i="1" a="1"/>
  <c r="K612" i="1" a="1"/>
  <c r="J612" i="1" a="1"/>
  <c r="J504" i="1" a="1"/>
  <c r="K504" i="1" a="1"/>
  <c r="M504" i="1" a="1"/>
  <c r="M551" i="1" a="1"/>
  <c r="K551" i="1" a="1"/>
  <c r="L551" i="1" a="1"/>
  <c r="J551" i="1" a="1"/>
  <c r="J646" i="1" a="1"/>
  <c r="K646" i="1" a="1"/>
  <c r="L646" i="1" a="1"/>
  <c r="M646" i="1" a="1"/>
  <c r="M635" i="1" a="1"/>
  <c r="J635" i="1" a="1"/>
  <c r="K635" i="1" a="1"/>
  <c r="K552" i="1" a="1"/>
  <c r="J552" i="1" a="1"/>
  <c r="M552" i="1" a="1"/>
  <c r="K584" i="1" a="1"/>
  <c r="J584" i="1" a="1"/>
  <c r="L584" i="1" a="1"/>
  <c r="M584" i="1" a="1"/>
  <c r="J648" i="1" a="1"/>
  <c r="K648" i="1" a="1"/>
  <c r="L648" i="1" a="1"/>
  <c r="M648" i="1" a="1"/>
  <c r="J617" i="1" a="1"/>
  <c r="K617" i="1" a="1"/>
  <c r="L617" i="1" a="1"/>
  <c r="M617" i="1" a="1"/>
  <c r="J732" i="1" a="1"/>
  <c r="K732" i="1" a="1"/>
  <c r="M732" i="1" a="1"/>
  <c r="K629" i="1" a="1"/>
  <c r="M629" i="1" a="1"/>
  <c r="J629" i="1" a="1"/>
  <c r="L629" i="1" a="1"/>
  <c r="J591" i="1" a="1"/>
  <c r="K591" i="1" a="1"/>
  <c r="L591" i="1" a="1"/>
  <c r="M591" i="1" a="1"/>
  <c r="M712" i="1" a="1"/>
  <c r="J712" i="1" a="1"/>
  <c r="K712" i="1" a="1"/>
  <c r="M676" i="1" a="1"/>
  <c r="K676" i="1" a="1"/>
  <c r="J676" i="1" a="1"/>
  <c r="L751" i="1" a="1"/>
  <c r="M751" i="1" a="1"/>
  <c r="J751" i="1" a="1"/>
  <c r="K751" i="1" a="1"/>
  <c r="M727" i="1" a="1"/>
  <c r="J727" i="1" a="1"/>
  <c r="K727" i="1" a="1"/>
  <c r="K647" i="1" a="1"/>
  <c r="J647" i="1" a="1"/>
  <c r="L647" i="1" a="1"/>
  <c r="M647" i="1" a="1"/>
  <c r="J692" i="1" a="1"/>
  <c r="K692" i="1" a="1"/>
  <c r="M692" i="1" a="1"/>
  <c r="K725" i="1" a="1"/>
  <c r="L725" i="1" a="1"/>
  <c r="J725" i="1" a="1"/>
  <c r="M725" i="1" a="1"/>
  <c r="M741" i="1" a="1"/>
  <c r="J741" i="1" a="1"/>
  <c r="K741" i="1" a="1"/>
  <c r="K278" i="1" a="1"/>
  <c r="J278" i="1" a="1"/>
  <c r="L278" i="1" a="1"/>
  <c r="M278" i="1" a="1"/>
  <c r="M204" i="1" a="1"/>
  <c r="K204" i="1" a="1"/>
  <c r="J204" i="1" a="1"/>
  <c r="J239" i="1" a="1"/>
  <c r="M239" i="1" a="1"/>
  <c r="K239" i="1" a="1"/>
  <c r="J350" i="1" a="1"/>
  <c r="K350" i="1" a="1"/>
  <c r="L350" i="1" a="1"/>
  <c r="M350" i="1" a="1"/>
  <c r="K168" i="1" a="1"/>
  <c r="J168" i="1" a="1"/>
  <c r="L168" i="1" a="1"/>
  <c r="M168" i="1" a="1"/>
  <c r="K244" i="1" a="1"/>
  <c r="M244" i="1" a="1"/>
  <c r="J244" i="1" a="1"/>
  <c r="M441" i="1" a="1"/>
  <c r="J441" i="1" a="1"/>
  <c r="K441" i="1" a="1"/>
  <c r="M263" i="1" a="1"/>
  <c r="L263" i="1" a="1"/>
  <c r="J263" i="1" a="1"/>
  <c r="K263" i="1" a="1"/>
  <c r="K342" i="1" a="1"/>
  <c r="M342" i="1" a="1"/>
  <c r="J342" i="1" a="1"/>
  <c r="M198" i="1" a="1"/>
  <c r="K198" i="1" a="1"/>
  <c r="J198" i="1" a="1"/>
  <c r="M203" i="1" a="1"/>
  <c r="J203" i="1" a="1"/>
  <c r="K203" i="1" a="1"/>
  <c r="K182" i="1" a="1"/>
  <c r="M182" i="1" a="1"/>
  <c r="J182" i="1" a="1"/>
  <c r="L182" i="1" a="1"/>
  <c r="K157" i="1" a="1"/>
  <c r="M157" i="1" a="1"/>
  <c r="J157" i="1" a="1"/>
  <c r="J250" i="1" a="1"/>
  <c r="K250" i="1" a="1"/>
  <c r="M250" i="1" a="1"/>
  <c r="L337" i="1" a="1"/>
  <c r="M337" i="1" a="1"/>
  <c r="K337" i="1" a="1"/>
  <c r="J337" i="1" a="1"/>
  <c r="M222" i="1" a="1"/>
  <c r="J222" i="1" a="1"/>
  <c r="K222" i="1" a="1"/>
  <c r="L222" i="1" a="1"/>
  <c r="J392" i="1" a="1"/>
  <c r="M392" i="1" a="1"/>
  <c r="K392" i="1" a="1"/>
  <c r="L392" i="1" a="1"/>
  <c r="J191" i="1" a="1"/>
  <c r="M191" i="1" a="1"/>
  <c r="L191" i="1" a="1"/>
  <c r="K191" i="1" a="1"/>
  <c r="K276" i="1" a="1"/>
  <c r="M276" i="1" a="1"/>
  <c r="J276" i="1" a="1"/>
  <c r="J440" i="1" a="1"/>
  <c r="M440" i="1" a="1"/>
  <c r="K440" i="1" a="1"/>
  <c r="L440" i="1" a="1"/>
  <c r="M408" i="1" a="1"/>
  <c r="J408" i="1" a="1"/>
  <c r="K408" i="1" a="1"/>
  <c r="L408" i="1" a="1"/>
  <c r="M325" i="1" a="1"/>
  <c r="J325" i="1" a="1"/>
  <c r="K325" i="1" a="1"/>
  <c r="J173" i="1" a="1"/>
  <c r="K173" i="1" a="1"/>
  <c r="M173" i="1" a="1"/>
  <c r="J205" i="1" a="1"/>
  <c r="K205" i="1" a="1"/>
  <c r="M205" i="1" a="1"/>
  <c r="J237" i="1" a="1"/>
  <c r="K237" i="1" a="1"/>
  <c r="M237" i="1" a="1"/>
  <c r="J269" i="1" a="1"/>
  <c r="K269" i="1" a="1"/>
  <c r="L269" i="1" a="1"/>
  <c r="M269" i="1" a="1"/>
  <c r="M330" i="1" a="1"/>
  <c r="K330" i="1" a="1"/>
  <c r="J330" i="1" a="1"/>
  <c r="K294" i="1" a="1"/>
  <c r="M294" i="1" a="1"/>
  <c r="J294" i="1" a="1"/>
  <c r="J383" i="1" a="1"/>
  <c r="L383" i="1" a="1"/>
  <c r="M383" i="1" a="1"/>
  <c r="K383" i="1" a="1"/>
  <c r="K358" i="1" a="1"/>
  <c r="J358" i="1" a="1"/>
  <c r="M358" i="1" a="1"/>
  <c r="M473" i="1" a="1"/>
  <c r="J473" i="1" a="1"/>
  <c r="K473" i="1" a="1"/>
  <c r="M644" i="1" a="1"/>
  <c r="K644" i="1" a="1"/>
  <c r="L644" i="1" a="1"/>
  <c r="J644" i="1" a="1"/>
  <c r="K315" i="1" a="1"/>
  <c r="L315" i="1" a="1"/>
  <c r="J315" i="1" a="1"/>
  <c r="M315" i="1" a="1"/>
  <c r="M354" i="1" a="1"/>
  <c r="J354" i="1" a="1"/>
  <c r="K354" i="1" a="1"/>
  <c r="L354" i="1" a="1"/>
  <c r="J353" i="1" a="1"/>
  <c r="K353" i="1" a="1"/>
  <c r="L353" i="1" a="1"/>
  <c r="M353" i="1" a="1"/>
  <c r="K533" i="1" a="1"/>
  <c r="L533" i="1" a="1"/>
  <c r="M533" i="1" a="1"/>
  <c r="J533" i="1" a="1"/>
  <c r="M428" i="1" a="1"/>
  <c r="J428" i="1" a="1"/>
  <c r="K428" i="1" a="1"/>
  <c r="L428" i="1" a="1"/>
  <c r="K361" i="1" a="1"/>
  <c r="L361" i="1" a="1"/>
  <c r="J361" i="1" a="1"/>
  <c r="M361" i="1" a="1"/>
  <c r="M401" i="1" a="1"/>
  <c r="J401" i="1" a="1"/>
  <c r="K401" i="1" a="1"/>
  <c r="K565" i="1" a="1"/>
  <c r="J565" i="1" a="1"/>
  <c r="M565" i="1" a="1"/>
  <c r="L565" i="1" a="1"/>
  <c r="L449" i="1" a="1"/>
  <c r="M449" i="1" a="1"/>
  <c r="J449" i="1" a="1"/>
  <c r="K449" i="1" a="1"/>
  <c r="J480" i="1" a="1"/>
  <c r="M480" i="1" a="1"/>
  <c r="K480" i="1" a="1"/>
  <c r="L480" i="1" a="1"/>
  <c r="K522" i="1" a="1"/>
  <c r="L522" i="1" a="1"/>
  <c r="M522" i="1" a="1"/>
  <c r="J522" i="1" a="1"/>
  <c r="M532" i="1" a="1"/>
  <c r="K532" i="1" a="1"/>
  <c r="L532" i="1" a="1"/>
  <c r="J532" i="1" a="1"/>
  <c r="L706" i="1" a="1"/>
  <c r="M706" i="1" a="1"/>
  <c r="J706" i="1" a="1"/>
  <c r="K706" i="1" a="1"/>
  <c r="K422" i="1" a="1"/>
  <c r="M422" i="1" a="1"/>
  <c r="J422" i="1" a="1"/>
  <c r="L454" i="1" a="1"/>
  <c r="K454" i="1" a="1"/>
  <c r="M454" i="1" a="1"/>
  <c r="J454" i="1" a="1"/>
  <c r="L486" i="1" a="1"/>
  <c r="K486" i="1" a="1"/>
  <c r="M486" i="1" a="1"/>
  <c r="J486" i="1" a="1"/>
  <c r="K567" i="1" a="1"/>
  <c r="M567" i="1" a="1"/>
  <c r="J567" i="1" a="1"/>
  <c r="J541" i="1" a="1"/>
  <c r="L541" i="1" a="1"/>
  <c r="M541" i="1" a="1"/>
  <c r="K541" i="1" a="1"/>
  <c r="K399" i="1" a="1"/>
  <c r="J399" i="1" a="1"/>
  <c r="M399" i="1" a="1"/>
  <c r="J431" i="1" a="1"/>
  <c r="K431" i="1" a="1"/>
  <c r="M431" i="1" a="1"/>
  <c r="K463" i="1" a="1"/>
  <c r="J463" i="1" a="1"/>
  <c r="L463" i="1" a="1"/>
  <c r="M463" i="1" a="1"/>
  <c r="K495" i="1" a="1"/>
  <c r="J495" i="1" a="1"/>
  <c r="M495" i="1" a="1"/>
  <c r="M664" i="1" a="1"/>
  <c r="J664" i="1" a="1"/>
  <c r="K664" i="1" a="1"/>
  <c r="J749" i="1" a="1"/>
  <c r="K749" i="1" a="1"/>
  <c r="L749" i="1" a="1"/>
  <c r="M749" i="1" a="1"/>
  <c r="M569" i="1" a="1"/>
  <c r="J569" i="1" a="1"/>
  <c r="K569" i="1" a="1"/>
  <c r="L569" i="1" a="1"/>
  <c r="M614" i="1" a="1"/>
  <c r="J614" i="1" a="1"/>
  <c r="K614" i="1" a="1"/>
  <c r="L614" i="1" a="1"/>
  <c r="K508" i="1" a="1"/>
  <c r="J508" i="1" a="1"/>
  <c r="L508" i="1" a="1"/>
  <c r="M508" i="1" a="1"/>
  <c r="M586" i="1" a="1"/>
  <c r="J586" i="1" a="1"/>
  <c r="K586" i="1" a="1"/>
  <c r="J671" i="1" a="1"/>
  <c r="M671" i="1" a="1"/>
  <c r="K671" i="1" a="1"/>
  <c r="L671" i="1" a="1"/>
  <c r="L638" i="1" a="1"/>
  <c r="J638" i="1" a="1"/>
  <c r="K638" i="1" a="1"/>
  <c r="M638" i="1" a="1"/>
  <c r="J556" i="1" a="1"/>
  <c r="L556" i="1" a="1"/>
  <c r="K556" i="1" a="1"/>
  <c r="M556" i="1" a="1"/>
  <c r="J597" i="1" a="1"/>
  <c r="L597" i="1" a="1"/>
  <c r="M597" i="1" a="1"/>
  <c r="K597" i="1" a="1"/>
  <c r="M651" i="1" a="1"/>
  <c r="J651" i="1" a="1"/>
  <c r="K651" i="1" a="1"/>
  <c r="M639" i="1" a="1"/>
  <c r="J639" i="1" a="1"/>
  <c r="K639" i="1" a="1"/>
  <c r="L639" i="1" a="1"/>
  <c r="M747" i="1" a="1"/>
  <c r="K747" i="1" a="1"/>
  <c r="J747" i="1" a="1"/>
  <c r="K659" i="1" a="1"/>
  <c r="J659" i="1" a="1"/>
  <c r="L659" i="1" a="1"/>
  <c r="M659" i="1" a="1"/>
  <c r="J595" i="1" a="1"/>
  <c r="K595" i="1" a="1"/>
  <c r="M595" i="1" a="1"/>
  <c r="J716" i="1" a="1"/>
  <c r="M716" i="1" a="1"/>
  <c r="K716" i="1" a="1"/>
  <c r="L687" i="1" a="1"/>
  <c r="K687" i="1" a="1"/>
  <c r="M687" i="1" a="1"/>
  <c r="J687" i="1" a="1"/>
  <c r="J656" i="1" a="1"/>
  <c r="K656" i="1" a="1"/>
  <c r="M656" i="1" a="1"/>
  <c r="M728" i="1" a="1"/>
  <c r="K728" i="1" a="1"/>
  <c r="J728" i="1" a="1"/>
  <c r="J657" i="1" a="1"/>
  <c r="K657" i="1" a="1"/>
  <c r="M657" i="1" a="1"/>
  <c r="J694" i="1" a="1"/>
  <c r="M694" i="1" a="1"/>
  <c r="K694" i="1" a="1"/>
  <c r="J756" i="1" a="1"/>
  <c r="K756" i="1" a="1"/>
  <c r="M756" i="1" a="1"/>
  <c r="J742" i="1" a="1"/>
  <c r="K742" i="1" a="1"/>
  <c r="M742" i="1" a="1"/>
  <c r="J292" i="1" a="1"/>
  <c r="K292" i="1" a="1"/>
  <c r="M292" i="1" a="1"/>
  <c r="J153" i="1" a="1"/>
  <c r="M153" i="1" a="1"/>
  <c r="K153" i="1" a="1"/>
  <c r="J254" i="1" a="1"/>
  <c r="K254" i="1" a="1"/>
  <c r="M254" i="1" a="1"/>
  <c r="L254" i="1" a="1"/>
  <c r="M360" i="1" a="1"/>
  <c r="K360" i="1" a="1"/>
  <c r="J360" i="1" a="1"/>
  <c r="K176" i="1" a="1"/>
  <c r="M176" i="1" a="1"/>
  <c r="J176" i="1" a="1"/>
  <c r="J258" i="1" a="1"/>
  <c r="K258" i="1" a="1"/>
  <c r="M258" i="1" a="1"/>
  <c r="J444" i="1" a="1"/>
  <c r="M444" i="1" a="1"/>
  <c r="K444" i="1" a="1"/>
  <c r="L444" i="1" a="1"/>
  <c r="M268" i="1" a="1"/>
  <c r="L268" i="1" a="1"/>
  <c r="K268" i="1" a="1"/>
  <c r="J268" i="1" a="1"/>
  <c r="J345" i="1" a="1"/>
  <c r="M345" i="1" a="1"/>
  <c r="K345" i="1" a="1"/>
  <c r="K228" i="1" a="1"/>
  <c r="L228" i="1" a="1"/>
  <c r="M228" i="1" a="1"/>
  <c r="J228" i="1" a="1"/>
  <c r="K226" i="1" a="1"/>
  <c r="M226" i="1" a="1"/>
  <c r="J226" i="1" a="1"/>
  <c r="L226" i="1" a="1"/>
  <c r="L188" i="1" a="1"/>
  <c r="M188" i="1" a="1"/>
  <c r="K188" i="1" a="1"/>
  <c r="J188" i="1" a="1"/>
  <c r="K186" i="1" a="1"/>
  <c r="J186" i="1" a="1"/>
  <c r="M186" i="1" a="1"/>
  <c r="J251" i="1" a="1"/>
  <c r="M251" i="1" a="1"/>
  <c r="K251" i="1" a="1"/>
  <c r="K352" i="1" a="1"/>
  <c r="J352" i="1" a="1"/>
  <c r="M352" i="1" a="1"/>
  <c r="M227" i="1" a="1"/>
  <c r="L227" i="1" a="1"/>
  <c r="J227" i="1" a="1"/>
  <c r="K227" i="1" a="1"/>
  <c r="M413" i="1" a="1"/>
  <c r="J413" i="1" a="1"/>
  <c r="K413" i="1" a="1"/>
  <c r="K196" i="1" a="1"/>
  <c r="M196" i="1" a="1"/>
  <c r="L196" i="1" a="1"/>
  <c r="J196" i="1" a="1"/>
  <c r="J297" i="1" a="1"/>
  <c r="L297" i="1" a="1"/>
  <c r="M297" i="1" a="1"/>
  <c r="K297" i="1" a="1"/>
  <c r="J526" i="1" a="1"/>
  <c r="K526" i="1" a="1"/>
  <c r="L526" i="1" a="1"/>
  <c r="M526" i="1" a="1"/>
  <c r="L417" i="1" a="1"/>
  <c r="M417" i="1" a="1"/>
  <c r="J417" i="1" a="1"/>
  <c r="K417" i="1" a="1"/>
  <c r="M335" i="1" a="1"/>
  <c r="J335" i="1" a="1"/>
  <c r="K335" i="1" a="1"/>
  <c r="K177" i="1" a="1"/>
  <c r="L177" i="1" a="1"/>
  <c r="J177" i="1" a="1"/>
  <c r="M177" i="1" a="1"/>
  <c r="K209" i="1" a="1"/>
  <c r="J209" i="1" a="1"/>
  <c r="L209" i="1" a="1"/>
  <c r="M209" i="1" a="1"/>
  <c r="J241" i="1" a="1"/>
  <c r="K241" i="1" a="1"/>
  <c r="M241" i="1" a="1"/>
  <c r="J273" i="1" a="1"/>
  <c r="K273" i="1" a="1"/>
  <c r="M273" i="1" a="1"/>
  <c r="K351" i="1" a="1"/>
  <c r="J351" i="1" a="1"/>
  <c r="M351" i="1" a="1"/>
  <c r="J309" i="1" a="1"/>
  <c r="L309" i="1" a="1"/>
  <c r="M309" i="1" a="1"/>
  <c r="K309" i="1" a="1"/>
  <c r="J387" i="1" a="1"/>
  <c r="M387" i="1" a="1"/>
  <c r="L387" i="1" a="1"/>
  <c r="K387" i="1" a="1"/>
  <c r="J359" i="1" a="1"/>
  <c r="L359" i="1" a="1"/>
  <c r="M359" i="1" a="1"/>
  <c r="K359" i="1" a="1"/>
  <c r="J673" i="1" a="1"/>
  <c r="M673" i="1" a="1"/>
  <c r="L673" i="1" a="1"/>
  <c r="K673" i="1" a="1"/>
  <c r="J287" i="1" a="1"/>
  <c r="K287" i="1" a="1"/>
  <c r="L287" i="1" a="1"/>
  <c r="M287" i="1" a="1"/>
  <c r="J319" i="1" a="1"/>
  <c r="K319" i="1" a="1"/>
  <c r="L319" i="1" a="1"/>
  <c r="M319" i="1" a="1"/>
  <c r="J355" i="1" a="1"/>
  <c r="M355" i="1" a="1"/>
  <c r="K355" i="1" a="1"/>
  <c r="K374" i="1" a="1"/>
  <c r="M374" i="1" a="1"/>
  <c r="J374" i="1" a="1"/>
  <c r="L554" i="1" a="1"/>
  <c r="M554" i="1" a="1"/>
  <c r="J554" i="1" a="1"/>
  <c r="K554" i="1" a="1"/>
  <c r="M429" i="1" a="1"/>
  <c r="J429" i="1" a="1"/>
  <c r="K429" i="1" a="1"/>
  <c r="K365" i="1" a="1"/>
  <c r="J365" i="1" a="1"/>
  <c r="M365" i="1" a="1"/>
  <c r="J424" i="1" a="1"/>
  <c r="M424" i="1" a="1"/>
  <c r="K424" i="1" a="1"/>
  <c r="L621" i="1" a="1"/>
  <c r="J621" i="1" a="1"/>
  <c r="M621" i="1" a="1"/>
  <c r="K621" i="1" a="1"/>
  <c r="M493" i="1" a="1"/>
  <c r="J493" i="1" a="1"/>
  <c r="K493" i="1" a="1"/>
  <c r="J484" i="1" a="1"/>
  <c r="M484" i="1" a="1"/>
  <c r="K484" i="1" a="1"/>
  <c r="J527" i="1" a="1"/>
  <c r="K527" i="1" a="1"/>
  <c r="M527" i="1" a="1"/>
  <c r="L527" i="1" a="1"/>
  <c r="M542" i="1" a="1"/>
  <c r="K542" i="1" a="1"/>
  <c r="J542" i="1" a="1"/>
  <c r="J754" i="1" a="1"/>
  <c r="K754" i="1" a="1"/>
  <c r="M754" i="1" a="1"/>
  <c r="K426" i="1" a="1"/>
  <c r="L426" i="1" a="1"/>
  <c r="M426" i="1" a="1"/>
  <c r="J426" i="1" a="1"/>
  <c r="L458" i="1" a="1"/>
  <c r="K458" i="1" a="1"/>
  <c r="M458" i="1" a="1"/>
  <c r="J458" i="1" a="1"/>
  <c r="L490" i="1" a="1"/>
  <c r="K490" i="1" a="1"/>
  <c r="M490" i="1" a="1"/>
  <c r="J490" i="1" a="1"/>
  <c r="L583" i="1" a="1"/>
  <c r="M583" i="1" a="1"/>
  <c r="K583" i="1" a="1"/>
  <c r="J583" i="1" a="1"/>
  <c r="L575" i="1" a="1"/>
  <c r="M575" i="1" a="1"/>
  <c r="K575" i="1" a="1"/>
  <c r="J575" i="1" a="1"/>
  <c r="K403" i="1" a="1"/>
  <c r="J403" i="1" a="1"/>
  <c r="L403" i="1" a="1"/>
  <c r="M403" i="1" a="1"/>
  <c r="J435" i="1" a="1"/>
  <c r="K435" i="1" a="1"/>
  <c r="M435" i="1" a="1"/>
  <c r="J467" i="1" a="1"/>
  <c r="K467" i="1" a="1"/>
  <c r="M467" i="1" a="1"/>
  <c r="K499" i="1" a="1"/>
  <c r="M499" i="1" a="1"/>
  <c r="J499" i="1" a="1"/>
  <c r="L708" i="1" a="1"/>
  <c r="M708" i="1" a="1"/>
  <c r="J708" i="1" a="1"/>
  <c r="K708" i="1" a="1"/>
  <c r="L512" i="1" a="1"/>
  <c r="K512" i="1" a="1"/>
  <c r="M512" i="1" a="1"/>
  <c r="J512" i="1" a="1"/>
  <c r="J570" i="1" a="1"/>
  <c r="M570" i="1" a="1"/>
  <c r="L570" i="1" a="1"/>
  <c r="K570" i="1" a="1"/>
  <c r="K616" i="1" a="1"/>
  <c r="J616" i="1" a="1"/>
  <c r="M616" i="1" a="1"/>
  <c r="J514" i="1" a="1"/>
  <c r="K514" i="1" a="1"/>
  <c r="M514" i="1" a="1"/>
  <c r="L590" i="1" a="1"/>
  <c r="K590" i="1" a="1"/>
  <c r="M590" i="1" a="1"/>
  <c r="J590" i="1" a="1"/>
  <c r="J711" i="1" a="1"/>
  <c r="K711" i="1" a="1"/>
  <c r="M711" i="1" a="1"/>
  <c r="M650" i="1" a="1"/>
  <c r="J650" i="1" a="1"/>
  <c r="K650" i="1" a="1"/>
  <c r="L650" i="1" a="1"/>
  <c r="K560" i="1" a="1"/>
  <c r="J560" i="1" a="1"/>
  <c r="M560" i="1" a="1"/>
  <c r="L598" i="1" a="1"/>
  <c r="M598" i="1" a="1"/>
  <c r="J598" i="1" a="1"/>
  <c r="K598" i="1" a="1"/>
  <c r="J680" i="1" a="1"/>
  <c r="K680" i="1" a="1"/>
  <c r="M680" i="1" a="1"/>
  <c r="J654" i="1" a="1"/>
  <c r="K654" i="1" a="1"/>
  <c r="M654" i="1" a="1"/>
  <c r="M736" i="1" a="1"/>
  <c r="J736" i="1" a="1"/>
  <c r="K736" i="1" a="1"/>
  <c r="L736" i="1" a="1"/>
  <c r="M672" i="1" a="1"/>
  <c r="J672" i="1" a="1"/>
  <c r="K672" i="1" a="1"/>
  <c r="L672" i="1" a="1"/>
  <c r="M601" i="1" a="1"/>
  <c r="K601" i="1" a="1"/>
  <c r="L601" i="1" a="1"/>
  <c r="J601" i="1" a="1"/>
  <c r="M735" i="1" a="1"/>
  <c r="J735" i="1" a="1"/>
  <c r="K735" i="1" a="1"/>
  <c r="L735" i="1" a="1"/>
  <c r="K700" i="1" a="1"/>
  <c r="J700" i="1" a="1"/>
  <c r="M700" i="1" a="1"/>
  <c r="J667" i="1" a="1"/>
  <c r="K667" i="1" a="1"/>
  <c r="M667" i="1" a="1"/>
  <c r="K729" i="1" a="1"/>
  <c r="M729" i="1" a="1"/>
  <c r="J729" i="1" a="1"/>
  <c r="K658" i="1" a="1"/>
  <c r="J658" i="1" a="1"/>
  <c r="M658" i="1" a="1"/>
  <c r="J695" i="1" a="1"/>
  <c r="K695" i="1" a="1"/>
  <c r="M695" i="1" a="1"/>
  <c r="J757" i="1" a="1"/>
  <c r="K757" i="1" a="1"/>
  <c r="L757" i="1" a="1"/>
  <c r="M757" i="1" a="1"/>
  <c r="J744" i="1" a="1"/>
  <c r="K744" i="1" a="1"/>
  <c r="M744" i="1" a="1"/>
  <c r="K200" i="1" a="1"/>
  <c r="M200" i="1" a="1"/>
  <c r="J200" i="1" a="1"/>
  <c r="J169" i="1" a="1"/>
  <c r="M169" i="1" a="1"/>
  <c r="K169" i="1" a="1"/>
  <c r="L169" i="1" a="1"/>
  <c r="K260" i="1" a="1"/>
  <c r="M260" i="1" a="1"/>
  <c r="J260" i="1" a="1"/>
  <c r="K386" i="1" a="1"/>
  <c r="M386" i="1" a="1"/>
  <c r="J386" i="1" a="1"/>
  <c r="L386" i="1" a="1"/>
  <c r="J194" i="1" a="1"/>
  <c r="M194" i="1" a="1"/>
  <c r="K194" i="1" a="1"/>
  <c r="L194" i="1" a="1"/>
  <c r="M259" i="1" a="1"/>
  <c r="J259" i="1" a="1"/>
  <c r="K259" i="1" a="1"/>
  <c r="K264" i="1" a="1"/>
  <c r="L264" i="1" a="1"/>
  <c r="M264" i="1" a="1"/>
  <c r="J264" i="1" a="1"/>
  <c r="M296" i="1" a="1"/>
  <c r="J296" i="1" a="1"/>
  <c r="K296" i="1" a="1"/>
  <c r="L433" i="1" a="1"/>
  <c r="M433" i="1" a="1"/>
  <c r="J433" i="1" a="1"/>
  <c r="K433" i="1" a="1"/>
  <c r="J243" i="1" a="1"/>
  <c r="M243" i="1" a="1"/>
  <c r="K243" i="1" a="1"/>
  <c r="M232" i="1" a="1"/>
  <c r="K232" i="1" a="1"/>
  <c r="J232" i="1" a="1"/>
  <c r="M208" i="1" a="1"/>
  <c r="K208" i="1" a="1"/>
  <c r="J208" i="1" a="1"/>
  <c r="M187" i="1" a="1"/>
  <c r="J187" i="1" a="1"/>
  <c r="L187" i="1" a="1"/>
  <c r="K187" i="1" a="1"/>
  <c r="L256" i="1" a="1"/>
  <c r="M256" i="1" a="1"/>
  <c r="K256" i="1" a="1"/>
  <c r="J256" i="1" a="1"/>
  <c r="M165" i="1" a="1"/>
  <c r="J165" i="1" a="1"/>
  <c r="K165" i="1" a="1"/>
  <c r="L165" i="1" a="1"/>
  <c r="K178" i="1" a="1"/>
  <c r="M178" i="1" a="1"/>
  <c r="J178" i="1" a="1"/>
  <c r="L178" i="1" a="1"/>
  <c r="J154" i="1" a="1"/>
  <c r="K154" i="1" a="1"/>
  <c r="M154" i="1" a="1"/>
  <c r="J211" i="1" a="1"/>
  <c r="M211" i="1" a="1"/>
  <c r="K211" i="1" a="1"/>
  <c r="M301" i="1" a="1"/>
  <c r="J301" i="1" a="1"/>
  <c r="L301" i="1" a="1"/>
  <c r="K301" i="1" a="1"/>
  <c r="K543" i="1" a="1"/>
  <c r="M543" i="1" a="1"/>
  <c r="J543" i="1" a="1"/>
  <c r="M457" i="1" a="1"/>
  <c r="J457" i="1" a="1"/>
  <c r="K457" i="1" a="1"/>
  <c r="M341" i="1" a="1"/>
  <c r="K341" i="1" a="1"/>
  <c r="J341" i="1" a="1"/>
  <c r="J181" i="1" a="1"/>
  <c r="K181" i="1" a="1"/>
  <c r="L181" i="1" a="1"/>
  <c r="M181" i="1" a="1"/>
  <c r="L213" i="1" a="1"/>
  <c r="J213" i="1" a="1"/>
  <c r="K213" i="1" a="1"/>
  <c r="M213" i="1" a="1"/>
  <c r="K245" i="1" a="1"/>
  <c r="J245" i="1" a="1"/>
  <c r="M245" i="1" a="1"/>
  <c r="L277" i="1" a="1"/>
  <c r="J277" i="1" a="1"/>
  <c r="K277" i="1" a="1"/>
  <c r="M277" i="1" a="1"/>
  <c r="M371" i="1" a="1"/>
  <c r="J371" i="1" a="1"/>
  <c r="K371" i="1" a="1"/>
  <c r="J329" i="1" a="1"/>
  <c r="L329" i="1" a="1"/>
  <c r="M329" i="1" a="1"/>
  <c r="K329" i="1" a="1"/>
  <c r="M393" i="1" a="1"/>
  <c r="J393" i="1" a="1"/>
  <c r="K393" i="1" a="1"/>
  <c r="K364" i="1" a="1"/>
  <c r="L364" i="1" a="1"/>
  <c r="M364" i="1" a="1"/>
  <c r="J364" i="1" a="1"/>
  <c r="J610" i="1" a="1"/>
  <c r="M610" i="1" a="1"/>
  <c r="K610" i="1" a="1"/>
  <c r="J291" i="1" a="1"/>
  <c r="K291" i="1" a="1"/>
  <c r="M291" i="1" a="1"/>
  <c r="J323" i="1" a="1"/>
  <c r="K323" i="1" a="1"/>
  <c r="M323" i="1" a="1"/>
  <c r="M356" i="1" a="1"/>
  <c r="K356" i="1" a="1"/>
  <c r="J356" i="1" a="1"/>
  <c r="M375" i="1" a="1"/>
  <c r="L375" i="1" a="1"/>
  <c r="J375" i="1" a="1"/>
  <c r="K375" i="1" a="1"/>
  <c r="M578" i="1" a="1"/>
  <c r="J578" i="1" a="1"/>
  <c r="K578" i="1" a="1"/>
  <c r="L477" i="1" a="1"/>
  <c r="M477" i="1" a="1"/>
  <c r="J477" i="1" a="1"/>
  <c r="K477" i="1" a="1"/>
  <c r="L369" i="1" a="1"/>
  <c r="K369" i="1" a="1"/>
  <c r="J369" i="1" a="1"/>
  <c r="M369" i="1" a="1"/>
  <c r="J452" i="1" a="1"/>
  <c r="M452" i="1" a="1"/>
  <c r="K452" i="1" a="1"/>
  <c r="L452" i="1" a="1"/>
  <c r="M660" i="1" a="1"/>
  <c r="J660" i="1" a="1"/>
  <c r="K660" i="1" a="1"/>
  <c r="L660" i="1" a="1"/>
  <c r="L503" i="1" a="1"/>
  <c r="M503" i="1" a="1"/>
  <c r="K503" i="1" a="1"/>
  <c r="J503" i="1" a="1"/>
  <c r="J488" i="1" a="1"/>
  <c r="M488" i="1" a="1"/>
  <c r="K488" i="1" a="1"/>
  <c r="J540" i="1" a="1"/>
  <c r="L540" i="1" a="1"/>
  <c r="M540" i="1" a="1"/>
  <c r="K540" i="1" a="1"/>
  <c r="M558" i="1" a="1"/>
  <c r="J558" i="1" a="1"/>
  <c r="L558" i="1" a="1"/>
  <c r="K558" i="1" a="1"/>
  <c r="K398" i="1" a="1"/>
  <c r="M398" i="1" a="1"/>
  <c r="J398" i="1" a="1"/>
  <c r="K430" i="1" a="1"/>
  <c r="M430" i="1" a="1"/>
  <c r="J430" i="1" a="1"/>
  <c r="K462" i="1" a="1"/>
  <c r="L462" i="1" a="1"/>
  <c r="M462" i="1" a="1"/>
  <c r="J462" i="1" a="1"/>
  <c r="K494" i="1" a="1"/>
  <c r="M494" i="1" a="1"/>
  <c r="J494" i="1" a="1"/>
  <c r="M663" i="1" a="1"/>
  <c r="L663" i="1" a="1"/>
  <c r="J663" i="1" a="1"/>
  <c r="K663" i="1" a="1"/>
  <c r="J577" i="1" a="1"/>
  <c r="M577" i="1" a="1"/>
  <c r="K577" i="1" a="1"/>
  <c r="L577" i="1" a="1"/>
  <c r="J407" i="1" a="1"/>
  <c r="K407" i="1" a="1"/>
  <c r="L407" i="1" a="1"/>
  <c r="M407" i="1" a="1"/>
  <c r="J439" i="1" a="1"/>
  <c r="K439" i="1" a="1"/>
  <c r="L439" i="1" a="1"/>
  <c r="M439" i="1" a="1"/>
  <c r="K471" i="1" a="1"/>
  <c r="J471" i="1" a="1"/>
  <c r="L471" i="1" a="1"/>
  <c r="M471" i="1" a="1"/>
  <c r="K507" i="1" a="1"/>
  <c r="L507" i="1" a="1"/>
  <c r="M507" i="1" a="1"/>
  <c r="J507" i="1" a="1"/>
  <c r="J562" i="1" a="1"/>
  <c r="M562" i="1" a="1"/>
  <c r="K562" i="1" a="1"/>
  <c r="K513" i="1" a="1"/>
  <c r="M513" i="1" a="1"/>
  <c r="J513" i="1" a="1"/>
  <c r="K571" i="1" a="1"/>
  <c r="M571" i="1" a="1"/>
  <c r="L571" i="1" a="1"/>
  <c r="J571" i="1" a="1"/>
  <c r="K618" i="1" a="1"/>
  <c r="J618" i="1" a="1"/>
  <c r="M618" i="1" a="1"/>
  <c r="L618" i="1" a="1"/>
  <c r="K524" i="1" a="1"/>
  <c r="J524" i="1" a="1"/>
  <c r="M524" i="1" a="1"/>
  <c r="J593" i="1" a="1"/>
  <c r="M593" i="1" a="1"/>
  <c r="K593" i="1" a="1"/>
  <c r="J721" i="1" a="1"/>
  <c r="K721" i="1" a="1"/>
  <c r="L721" i="1" a="1"/>
  <c r="M721" i="1" a="1"/>
  <c r="K669" i="1" a="1"/>
  <c r="J669" i="1" a="1"/>
  <c r="L669" i="1" a="1"/>
  <c r="M669" i="1" a="1"/>
  <c r="K564" i="1" a="1"/>
  <c r="J564" i="1" a="1"/>
  <c r="M564" i="1" a="1"/>
  <c r="L599" i="1" a="1"/>
  <c r="M599" i="1" a="1"/>
  <c r="K599" i="1" a="1"/>
  <c r="J599" i="1" a="1"/>
  <c r="M681" i="1" a="1"/>
  <c r="K681" i="1" a="1"/>
  <c r="J681" i="1" a="1"/>
  <c r="L681" i="1" a="1"/>
  <c r="J661" i="1" a="1"/>
  <c r="M661" i="1" a="1"/>
  <c r="K661" i="1" a="1"/>
  <c r="L661" i="1" a="1"/>
  <c r="M746" i="1" a="1"/>
  <c r="J746" i="1" a="1"/>
  <c r="K746" i="1" a="1"/>
  <c r="J682" i="1" a="1"/>
  <c r="M682" i="1" a="1"/>
  <c r="K682" i="1" a="1"/>
  <c r="L682" i="1" a="1"/>
  <c r="L602" i="1" a="1"/>
  <c r="M602" i="1" a="1"/>
  <c r="K602" i="1" a="1"/>
  <c r="J602" i="1" a="1"/>
  <c r="J740" i="1" a="1"/>
  <c r="K740" i="1" a="1"/>
  <c r="M740" i="1" a="1"/>
  <c r="L740" i="1" a="1"/>
  <c r="L701" i="1" a="1"/>
  <c r="M701" i="1" a="1"/>
  <c r="K701" i="1" a="1"/>
  <c r="J701" i="1" a="1"/>
  <c r="K677" i="1" a="1"/>
  <c r="M677" i="1" a="1"/>
  <c r="J677" i="1" a="1"/>
  <c r="M750" i="1" a="1"/>
  <c r="L750" i="1" a="1"/>
  <c r="J750" i="1" a="1"/>
  <c r="K750" i="1" a="1"/>
  <c r="J668" i="1" a="1"/>
  <c r="K668" i="1" a="1"/>
  <c r="M668" i="1" a="1"/>
  <c r="K696" i="1" a="1"/>
  <c r="M696" i="1" a="1"/>
  <c r="J696" i="1" a="1"/>
  <c r="M699" i="1" a="1"/>
  <c r="K699" i="1" a="1"/>
  <c r="J699" i="1" a="1"/>
  <c r="M745" i="1" a="1"/>
  <c r="K745" i="1" a="1"/>
  <c r="J745" i="1" a="1"/>
  <c r="M460" i="1" a="1"/>
  <c r="J460" i="1" a="1"/>
  <c r="K460" i="1" a="1"/>
  <c r="M306" i="1" a="1"/>
  <c r="K306" i="1" a="1"/>
  <c r="J306" i="1" a="1"/>
  <c r="M162" i="1" a="1"/>
  <c r="J162" i="1" a="1"/>
  <c r="K162" i="1" a="1"/>
  <c r="M247" i="1" a="1"/>
  <c r="J247" i="1" a="1"/>
  <c r="L247" i="1" a="1"/>
  <c r="K247" i="1" a="1"/>
  <c r="M231" i="1" a="1"/>
  <c r="J231" i="1" a="1"/>
  <c r="K231" i="1" a="1"/>
  <c r="L192" i="1" a="1"/>
  <c r="M192" i="1" a="1"/>
  <c r="K192" i="1" a="1"/>
  <c r="J192" i="1" a="1"/>
  <c r="J270" i="1" a="1"/>
  <c r="K270" i="1" a="1"/>
  <c r="M270" i="1" a="1"/>
  <c r="L175" i="1" a="1"/>
  <c r="J175" i="1" a="1"/>
  <c r="M175" i="1" a="1"/>
  <c r="K175" i="1" a="1"/>
  <c r="K202" i="1" a="1"/>
  <c r="M202" i="1" a="1"/>
  <c r="J202" i="1" a="1"/>
  <c r="J155" i="1" a="1"/>
  <c r="L155" i="1" a="1"/>
  <c r="M155" i="1" a="1"/>
  <c r="K155" i="1" a="1"/>
  <c r="K216" i="1" a="1"/>
  <c r="L216" i="1" a="1"/>
  <c r="M216" i="1" a="1"/>
  <c r="J216" i="1" a="1"/>
  <c r="K314" i="1" a="1"/>
  <c r="M314" i="1" a="1"/>
  <c r="J314" i="1" a="1"/>
  <c r="M326" i="1" a="1"/>
  <c r="K326" i="1" a="1"/>
  <c r="J326" i="1" a="1"/>
  <c r="M285" i="1" a="1"/>
  <c r="L285" i="1" a="1"/>
  <c r="J285" i="1" a="1"/>
  <c r="K285" i="1" a="1"/>
  <c r="M367" i="1" a="1"/>
  <c r="J367" i="1" a="1"/>
  <c r="L367" i="1" a="1"/>
  <c r="K367" i="1" a="1"/>
  <c r="J185" i="1" a="1"/>
  <c r="K185" i="1" a="1"/>
  <c r="M185" i="1" a="1"/>
  <c r="L217" i="1" a="1"/>
  <c r="J217" i="1" a="1"/>
  <c r="K217" i="1" a="1"/>
  <c r="M217" i="1" a="1"/>
  <c r="J249" i="1" a="1"/>
  <c r="K249" i="1" a="1"/>
  <c r="L249" i="1" a="1"/>
  <c r="M249" i="1" a="1"/>
  <c r="K284" i="1" a="1"/>
  <c r="L284" i="1" a="1"/>
  <c r="M284" i="1" a="1"/>
  <c r="J284" i="1" a="1"/>
  <c r="M404" i="1" a="1"/>
  <c r="J404" i="1" a="1"/>
  <c r="K404" i="1" a="1"/>
  <c r="J412" i="1" a="1"/>
  <c r="M412" i="1" a="1"/>
  <c r="K412" i="1" a="1"/>
  <c r="L412" i="1" a="1"/>
  <c r="L674" i="1" a="1"/>
  <c r="M674" i="1" a="1"/>
  <c r="J674" i="1" a="1"/>
  <c r="K674" i="1" a="1"/>
  <c r="J295" i="1" a="1"/>
  <c r="K295" i="1" a="1"/>
  <c r="M295" i="1" a="1"/>
  <c r="J327" i="1" a="1"/>
  <c r="K327" i="1" a="1"/>
  <c r="M327" i="1" a="1"/>
  <c r="M394" i="1" a="1"/>
  <c r="L394" i="1" a="1"/>
  <c r="K394" i="1" a="1"/>
  <c r="J394" i="1" a="1"/>
  <c r="L453" i="1" a="1"/>
  <c r="M453" i="1" a="1"/>
  <c r="J453" i="1" a="1"/>
  <c r="K453" i="1" a="1"/>
  <c r="J492" i="1" a="1"/>
  <c r="M492" i="1" a="1"/>
  <c r="K492" i="1" a="1"/>
  <c r="L492" i="1" a="1"/>
  <c r="L402" i="1" a="1"/>
  <c r="K402" i="1" a="1"/>
  <c r="M402" i="1" a="1"/>
  <c r="J402" i="1" a="1"/>
  <c r="L498" i="1" a="1"/>
  <c r="K498" i="1" a="1"/>
  <c r="M498" i="1" a="1"/>
  <c r="J498" i="1" a="1"/>
  <c r="J411" i="1" a="1"/>
  <c r="K411" i="1" a="1"/>
  <c r="L411" i="1" a="1"/>
  <c r="M411" i="1" a="1"/>
  <c r="K475" i="1" a="1"/>
  <c r="J475" i="1" a="1"/>
  <c r="M475" i="1" a="1"/>
  <c r="J523" i="1" a="1"/>
  <c r="L523" i="1" a="1"/>
  <c r="K523" i="1" a="1"/>
  <c r="M523" i="1" a="1"/>
  <c r="J525" i="1" a="1"/>
  <c r="K525" i="1" a="1"/>
  <c r="M525" i="1" a="1"/>
  <c r="M717" i="1" a="1"/>
  <c r="J717" i="1" a="1"/>
  <c r="K717" i="1" a="1"/>
  <c r="K748" i="1" a="1"/>
  <c r="M748" i="1" a="1"/>
  <c r="J748" i="1" a="1"/>
  <c r="J755" i="1" a="1"/>
  <c r="K755" i="1" a="1"/>
  <c r="L755" i="1" a="1"/>
  <c r="M755" i="1" a="1"/>
  <c r="K615" i="1" a="1"/>
  <c r="J615" i="1" a="1"/>
  <c r="M615" i="1" a="1"/>
  <c r="K697" i="1" a="1"/>
  <c r="M697" i="1" a="1"/>
  <c r="J697" i="1" a="1"/>
  <c r="L4" i="1" a="1"/>
  <c r="L5" i="1" a="1"/>
  <c r="K23" i="1" a="1"/>
  <c r="M23" i="1" a="1"/>
  <c r="J23" i="1" a="1"/>
  <c r="M36" i="1" a="1"/>
  <c r="K36" i="1" a="1"/>
  <c r="J36" i="1" a="1"/>
  <c r="M44" i="1" a="1"/>
  <c r="K44" i="1" a="1"/>
  <c r="J44" i="1" a="1"/>
  <c r="M52" i="1" a="1"/>
  <c r="K52" i="1" a="1"/>
  <c r="J52" i="1" a="1"/>
  <c r="M60" i="1" a="1"/>
  <c r="K60" i="1" a="1"/>
  <c r="J60" i="1" a="1"/>
  <c r="K68" i="1" a="1"/>
  <c r="M68" i="1" a="1"/>
  <c r="J68" i="1" a="1"/>
  <c r="K76" i="1" a="1"/>
  <c r="M76" i="1" a="1"/>
  <c r="J76" i="1" a="1"/>
  <c r="K84" i="1" a="1"/>
  <c r="M84" i="1" a="1"/>
  <c r="J84" i="1" a="1"/>
  <c r="K92" i="1" a="1"/>
  <c r="M92" i="1" a="1"/>
  <c r="L92" i="1" a="1"/>
  <c r="J92" i="1" a="1"/>
  <c r="K100" i="1" a="1"/>
  <c r="M100" i="1" a="1"/>
  <c r="L100" i="1" a="1"/>
  <c r="J100" i="1" a="1"/>
  <c r="K108" i="1" a="1"/>
  <c r="M108" i="1" a="1"/>
  <c r="J108" i="1" a="1"/>
  <c r="K116" i="1" a="1"/>
  <c r="M116" i="1" a="1"/>
  <c r="L116" i="1" a="1"/>
  <c r="J116" i="1" a="1"/>
  <c r="M124" i="1" a="1"/>
  <c r="K124" i="1" a="1"/>
  <c r="L124" i="1" a="1"/>
  <c r="J124" i="1" a="1"/>
  <c r="K132" i="1" a="1"/>
  <c r="M132" i="1" a="1"/>
  <c r="J132" i="1" a="1"/>
  <c r="K140" i="1" a="1"/>
  <c r="L140" i="1" a="1"/>
  <c r="M140" i="1" a="1"/>
  <c r="J140" i="1" a="1"/>
  <c r="K15" i="1" a="1"/>
  <c r="L15" i="1" a="1"/>
  <c r="M15" i="1" a="1"/>
  <c r="J15" i="1" a="1"/>
  <c r="K39" i="1" a="1"/>
  <c r="M39" i="1" a="1"/>
  <c r="J39" i="1" a="1"/>
  <c r="M63" i="1" a="1"/>
  <c r="L63" i="1" a="1"/>
  <c r="K63" i="1" a="1"/>
  <c r="J63" i="1" a="1"/>
  <c r="K87" i="1" a="1"/>
  <c r="M87" i="1" a="1"/>
  <c r="J87" i="1" a="1"/>
  <c r="L111" i="1" a="1"/>
  <c r="K111" i="1" a="1"/>
  <c r="M111" i="1" a="1"/>
  <c r="J111" i="1" a="1"/>
  <c r="L143" i="1" a="1"/>
  <c r="K143" i="1" a="1"/>
  <c r="M143" i="1" a="1"/>
  <c r="J143" i="1" a="1"/>
  <c r="K24" i="1" a="1"/>
  <c r="M24" i="1" a="1"/>
  <c r="L24" i="1" a="1"/>
  <c r="J24" i="1" a="1"/>
  <c r="M40" i="1" a="1"/>
  <c r="K40" i="1" a="1"/>
  <c r="J40" i="1" a="1"/>
  <c r="M64" i="1" a="1"/>
  <c r="K64" i="1" a="1"/>
  <c r="J64" i="1" a="1"/>
  <c r="M88" i="1" a="1"/>
  <c r="K88" i="1" a="1"/>
  <c r="J88" i="1" a="1"/>
  <c r="K104" i="1" a="1"/>
  <c r="M104" i="1" a="1"/>
  <c r="J104" i="1" a="1"/>
  <c r="K136" i="1" a="1"/>
  <c r="M136" i="1" a="1"/>
  <c r="J136" i="1" a="1"/>
  <c r="K11" i="1" a="1"/>
  <c r="M11" i="1" a="1"/>
  <c r="J11" i="1" a="1"/>
  <c r="M19" i="1" a="1"/>
  <c r="K19" i="1" a="1"/>
  <c r="J19" i="1" a="1"/>
  <c r="M27" i="1" a="1"/>
  <c r="K27" i="1" a="1"/>
  <c r="L27" i="1" a="1"/>
  <c r="J27" i="1" a="1"/>
  <c r="L7" i="1" a="1"/>
  <c r="M7" i="1" a="1"/>
  <c r="J7" i="1" a="1"/>
  <c r="M47" i="1" a="1"/>
  <c r="L47" i="1" a="1"/>
  <c r="K47" i="1" a="1"/>
  <c r="J47" i="1" a="1"/>
  <c r="L71" i="1" a="1"/>
  <c r="K71" i="1" a="1"/>
  <c r="M71" i="1" a="1"/>
  <c r="J71" i="1" a="1"/>
  <c r="K95" i="1" a="1"/>
  <c r="M95" i="1" a="1"/>
  <c r="J95" i="1" a="1"/>
  <c r="L119" i="1" a="1"/>
  <c r="K119" i="1" a="1"/>
  <c r="M119" i="1" a="1"/>
  <c r="J119" i="1" a="1"/>
  <c r="M135" i="1" a="1"/>
  <c r="K135" i="1" a="1"/>
  <c r="L135" i="1" a="1"/>
  <c r="J135" i="1" a="1"/>
  <c r="K16" i="1" a="1"/>
  <c r="M16" i="1" a="1"/>
  <c r="J16" i="1" a="1"/>
  <c r="M32" i="1" a="1"/>
  <c r="K32" i="1" a="1"/>
  <c r="L32" i="1" a="1"/>
  <c r="J32" i="1" a="1"/>
  <c r="M56" i="1" a="1"/>
  <c r="L56" i="1" a="1"/>
  <c r="K56" i="1" a="1"/>
  <c r="J56" i="1" a="1"/>
  <c r="L80" i="1" a="1"/>
  <c r="M80" i="1" a="1"/>
  <c r="K80" i="1" a="1"/>
  <c r="J80" i="1" a="1"/>
  <c r="K96" i="1" a="1"/>
  <c r="M96" i="1" a="1"/>
  <c r="J96" i="1" a="1"/>
  <c r="M120" i="1" a="1"/>
  <c r="L120" i="1" a="1"/>
  <c r="K120" i="1" a="1"/>
  <c r="J120" i="1" a="1"/>
  <c r="K128" i="1" a="1"/>
  <c r="M128" i="1" a="1"/>
  <c r="J128" i="1" a="1"/>
  <c r="K43" i="1" a="1"/>
  <c r="M43" i="1" a="1"/>
  <c r="J43" i="1" a="1"/>
  <c r="M51" i="1" a="1"/>
  <c r="K51" i="1" a="1"/>
  <c r="J51" i="1" a="1"/>
  <c r="M67" i="1" a="1"/>
  <c r="K67" i="1" a="1"/>
  <c r="J67" i="1" a="1"/>
  <c r="M75" i="1" a="1"/>
  <c r="K75" i="1" a="1"/>
  <c r="J75" i="1" a="1"/>
  <c r="M83" i="1" a="1"/>
  <c r="K83" i="1" a="1"/>
  <c r="J83" i="1" a="1"/>
  <c r="M91" i="1" a="1"/>
  <c r="K91" i="1" a="1"/>
  <c r="L91" i="1" a="1"/>
  <c r="J91" i="1" a="1"/>
  <c r="M99" i="1" a="1"/>
  <c r="K99" i="1" a="1"/>
  <c r="L99" i="1" a="1"/>
  <c r="J99" i="1" a="1"/>
  <c r="M107" i="1" a="1"/>
  <c r="K107" i="1" a="1"/>
  <c r="L107" i="1" a="1"/>
  <c r="J107" i="1" a="1"/>
  <c r="M115" i="1" a="1"/>
  <c r="K115" i="1" a="1"/>
  <c r="L115" i="1" a="1"/>
  <c r="J115" i="1" a="1"/>
  <c r="M123" i="1" a="1"/>
  <c r="K123" i="1" a="1"/>
  <c r="L123" i="1" a="1"/>
  <c r="J123" i="1" a="1"/>
  <c r="M131" i="1" a="1"/>
  <c r="K131" i="1" a="1"/>
  <c r="J131" i="1" a="1"/>
  <c r="M139" i="1" a="1"/>
  <c r="K139" i="1" a="1"/>
  <c r="L139" i="1" a="1"/>
  <c r="J139" i="1" a="1"/>
  <c r="L29" i="1" a="1"/>
  <c r="K29" i="1" a="1"/>
  <c r="M29" i="1" a="1"/>
  <c r="J29" i="1" a="1"/>
  <c r="M31" i="1" a="1"/>
  <c r="K31" i="1" a="1"/>
  <c r="L31" i="1" a="1"/>
  <c r="J31" i="1" a="1"/>
  <c r="M55" i="1" a="1"/>
  <c r="L55" i="1" a="1"/>
  <c r="K55" i="1" a="1"/>
  <c r="J55" i="1" a="1"/>
  <c r="K79" i="1" a="1"/>
  <c r="L79" i="1" a="1"/>
  <c r="M79" i="1" a="1"/>
  <c r="J79" i="1" a="1"/>
  <c r="K103" i="1" a="1"/>
  <c r="M103" i="1" a="1"/>
  <c r="J103" i="1" a="1"/>
  <c r="K127" i="1" a="1"/>
  <c r="M127" i="1" a="1"/>
  <c r="J127" i="1" a="1"/>
  <c r="K8" i="1" a="1"/>
  <c r="L8" i="1" a="1"/>
  <c r="M8" i="1" a="1"/>
  <c r="J8" i="1" a="1"/>
  <c r="L48" i="1" a="1"/>
  <c r="M48" i="1" a="1"/>
  <c r="K48" i="1" a="1"/>
  <c r="J48" i="1" a="1"/>
  <c r="M72" i="1" a="1"/>
  <c r="K72" i="1" a="1"/>
  <c r="L72" i="1" a="1"/>
  <c r="J72" i="1" a="1"/>
  <c r="M112" i="1" a="1"/>
  <c r="K112" i="1" a="1"/>
  <c r="J112" i="1" a="1"/>
  <c r="M144" i="1" a="1"/>
  <c r="L144" i="1" a="1"/>
  <c r="K144" i="1" a="1"/>
  <c r="J144" i="1" a="1"/>
  <c r="M35" i="1" a="1"/>
  <c r="K35" i="1" a="1"/>
  <c r="J35" i="1" a="1"/>
  <c r="M59" i="1" a="1"/>
  <c r="K59" i="1" a="1"/>
  <c r="J59" i="1" a="1"/>
  <c r="M12" i="1" a="1"/>
  <c r="L12" i="1" a="1"/>
  <c r="K12" i="1" a="1"/>
  <c r="J12" i="1" a="1"/>
  <c r="M20" i="1" a="1"/>
  <c r="L20" i="1" a="1"/>
  <c r="K20" i="1" a="1"/>
  <c r="J20" i="1" a="1"/>
  <c r="M28" i="1" a="1"/>
  <c r="K28" i="1" a="1"/>
  <c r="L28" i="1" a="1"/>
  <c r="J28" i="1" a="1"/>
  <c r="K148" i="1" a="1"/>
  <c r="M148" i="1" a="1"/>
  <c r="J148" i="1" a="1"/>
  <c r="M147" i="1" a="1"/>
  <c r="K147" i="1" a="1"/>
  <c r="J147" i="1" a="1"/>
  <c r="L149" i="1" a="1"/>
  <c r="M149" i="1" a="1"/>
  <c r="K149" i="1" a="1"/>
  <c r="J149" i="1" a="1"/>
  <c r="K150" i="1" a="1"/>
  <c r="M150" i="1" a="1"/>
  <c r="J150" i="1" a="1"/>
  <c r="K9" i="1" a="1"/>
  <c r="L9" i="1" a="1"/>
  <c r="M9" i="1" a="1"/>
  <c r="J9" i="1" a="1"/>
  <c r="M13" i="1" a="1"/>
  <c r="K13" i="1" a="1"/>
  <c r="J13" i="1" a="1"/>
  <c r="K17" i="1" a="1"/>
  <c r="M17" i="1" a="1"/>
  <c r="J17" i="1" a="1"/>
  <c r="M21" i="1" a="1"/>
  <c r="K21" i="1" a="1"/>
  <c r="L21" i="1" a="1"/>
  <c r="J21" i="1" a="1"/>
  <c r="K25" i="1" a="1"/>
  <c r="L25" i="1" a="1"/>
  <c r="M25" i="1" a="1"/>
  <c r="J25" i="1" a="1"/>
  <c r="L33" i="1" a="1"/>
  <c r="K33" i="1" a="1"/>
  <c r="M33" i="1" a="1"/>
  <c r="J33" i="1" a="1"/>
  <c r="K37" i="1" a="1"/>
  <c r="M37" i="1" a="1"/>
  <c r="J37" i="1" a="1"/>
  <c r="K41" i="1" a="1"/>
  <c r="M41" i="1" a="1"/>
  <c r="J41" i="1" a="1"/>
  <c r="K45" i="1" a="1"/>
  <c r="M45" i="1" a="1"/>
  <c r="J45" i="1" a="1"/>
  <c r="L49" i="1" a="1"/>
  <c r="M49" i="1" a="1"/>
  <c r="K49" i="1" a="1"/>
  <c r="J49" i="1" a="1"/>
  <c r="L53" i="1" a="1"/>
  <c r="M53" i="1" a="1"/>
  <c r="K53" i="1" a="1"/>
  <c r="J53" i="1" a="1"/>
  <c r="M57" i="1" a="1"/>
  <c r="K57" i="1" a="1"/>
  <c r="J57" i="1" a="1"/>
  <c r="L61" i="1" a="1"/>
  <c r="M61" i="1" a="1"/>
  <c r="K61" i="1" a="1"/>
  <c r="J61" i="1" a="1"/>
  <c r="L65" i="1" a="1"/>
  <c r="M65" i="1" a="1"/>
  <c r="K65" i="1" a="1"/>
  <c r="J65" i="1" a="1"/>
  <c r="K69" i="1" a="1"/>
  <c r="L69" i="1" a="1"/>
  <c r="M69" i="1" a="1"/>
  <c r="J69" i="1" a="1"/>
  <c r="M73" i="1" a="1"/>
  <c r="K73" i="1" a="1"/>
  <c r="J73" i="1" a="1"/>
  <c r="K77" i="1" a="1"/>
  <c r="L77" i="1" a="1"/>
  <c r="M77" i="1" a="1"/>
  <c r="J77" i="1" a="1"/>
  <c r="M81" i="1" a="1"/>
  <c r="L81" i="1" a="1"/>
  <c r="K81" i="1" a="1"/>
  <c r="J81" i="1" a="1"/>
  <c r="K85" i="1" a="1"/>
  <c r="L85" i="1" a="1"/>
  <c r="M85" i="1" a="1"/>
  <c r="J85" i="1" a="1"/>
  <c r="M89" i="1" a="1"/>
  <c r="L89" i="1" a="1"/>
  <c r="K89" i="1" a="1"/>
  <c r="J89" i="1" a="1"/>
  <c r="K93" i="1" a="1"/>
  <c r="M93" i="1" a="1"/>
  <c r="J93" i="1" a="1"/>
  <c r="M97" i="1" a="1"/>
  <c r="L97" i="1" a="1"/>
  <c r="K97" i="1" a="1"/>
  <c r="J97" i="1" a="1"/>
  <c r="K101" i="1" a="1"/>
  <c r="L101" i="1" a="1"/>
  <c r="M101" i="1" a="1"/>
  <c r="J101" i="1" a="1"/>
  <c r="M105" i="1" a="1"/>
  <c r="K105" i="1" a="1"/>
  <c r="J105" i="1" a="1"/>
  <c r="K109" i="1" a="1"/>
  <c r="L109" i="1" a="1"/>
  <c r="M109" i="1" a="1"/>
  <c r="J109" i="1" a="1"/>
  <c r="M113" i="1" a="1"/>
  <c r="K113" i="1" a="1"/>
  <c r="J113" i="1" a="1"/>
  <c r="K117" i="1" a="1"/>
  <c r="L117" i="1" a="1"/>
  <c r="M117" i="1" a="1"/>
  <c r="J117" i="1" a="1"/>
  <c r="M121" i="1" a="1"/>
  <c r="L121" i="1" a="1"/>
  <c r="K121" i="1" a="1"/>
  <c r="J121" i="1" a="1"/>
  <c r="K125" i="1" a="1"/>
  <c r="M125" i="1" a="1"/>
  <c r="J125" i="1" a="1"/>
  <c r="M129" i="1" a="1"/>
  <c r="K129" i="1" a="1"/>
  <c r="J129" i="1" a="1"/>
  <c r="K133" i="1" a="1"/>
  <c r="M133" i="1" a="1"/>
  <c r="J133" i="1" a="1"/>
  <c r="L137" i="1" a="1"/>
  <c r="K137" i="1" a="1"/>
  <c r="M137" i="1" a="1"/>
  <c r="J137" i="1" a="1"/>
  <c r="K141" i="1" a="1"/>
  <c r="L141" i="1" a="1"/>
  <c r="M141" i="1" a="1"/>
  <c r="J141" i="1" a="1"/>
  <c r="K145" i="1" a="1"/>
  <c r="L145" i="1" a="1"/>
  <c r="M145" i="1" a="1"/>
  <c r="J145" i="1" a="1"/>
  <c r="M6" i="1" a="1"/>
  <c r="L6" i="1" a="1"/>
  <c r="J6" i="1" a="1"/>
  <c r="L10" i="1" a="1"/>
  <c r="K10" i="1" a="1"/>
  <c r="M10" i="1" a="1"/>
  <c r="J10" i="1" a="1"/>
  <c r="M14" i="1" a="1"/>
  <c r="K14" i="1" a="1"/>
  <c r="L14" i="1" a="1"/>
  <c r="J14" i="1" a="1"/>
  <c r="L18" i="1" a="1"/>
  <c r="K18" i="1" a="1"/>
  <c r="M18" i="1" a="1"/>
  <c r="J18" i="1" a="1"/>
  <c r="M22" i="1" a="1"/>
  <c r="K22" i="1" a="1"/>
  <c r="J22" i="1" a="1"/>
  <c r="L26" i="1" a="1"/>
  <c r="K26" i="1" a="1"/>
  <c r="M26" i="1" a="1"/>
  <c r="J26" i="1" a="1"/>
  <c r="K30" i="1" a="1"/>
  <c r="L30" i="1" a="1"/>
  <c r="M30" i="1" a="1"/>
  <c r="J30" i="1" a="1"/>
  <c r="L34" i="1" a="1"/>
  <c r="K34" i="1" a="1"/>
  <c r="M34" i="1" a="1"/>
  <c r="J34" i="1" a="1"/>
  <c r="K38" i="1" a="1"/>
  <c r="L38" i="1" a="1"/>
  <c r="M38" i="1" a="1"/>
  <c r="J38" i="1" a="1"/>
  <c r="K42" i="1" a="1"/>
  <c r="M42" i="1" a="1"/>
  <c r="J42" i="1" a="1"/>
  <c r="M46" i="1" a="1"/>
  <c r="K46" i="1" a="1"/>
  <c r="J46" i="1" a="1"/>
  <c r="M50" i="1" a="1"/>
  <c r="K50" i="1" a="1"/>
  <c r="J50" i="1" a="1"/>
  <c r="M54" i="1" a="1"/>
  <c r="K54" i="1" a="1"/>
  <c r="J54" i="1" a="1"/>
  <c r="M58" i="1" a="1"/>
  <c r="L58" i="1" a="1"/>
  <c r="K58" i="1" a="1"/>
  <c r="J58" i="1" a="1"/>
  <c r="M62" i="1" a="1"/>
  <c r="K62" i="1" a="1"/>
  <c r="J62" i="1" a="1"/>
  <c r="M66" i="1" a="1"/>
  <c r="L66" i="1" a="1"/>
  <c r="K66" i="1" a="1"/>
  <c r="J66" i="1" a="1"/>
  <c r="K70" i="1" a="1"/>
  <c r="L70" i="1" a="1"/>
  <c r="M70" i="1" a="1"/>
  <c r="J70" i="1" a="1"/>
  <c r="M74" i="1" a="1"/>
  <c r="K74" i="1" a="1"/>
  <c r="J74" i="1" a="1"/>
  <c r="K78" i="1" a="1"/>
  <c r="M78" i="1" a="1"/>
  <c r="J78" i="1" a="1"/>
  <c r="M82" i="1" a="1"/>
  <c r="K82" i="1" a="1"/>
  <c r="J82" i="1" a="1"/>
  <c r="K86" i="1" a="1"/>
  <c r="L86" i="1" a="1"/>
  <c r="M86" i="1" a="1"/>
  <c r="J86" i="1" a="1"/>
  <c r="M90" i="1" a="1"/>
  <c r="L90" i="1" a="1"/>
  <c r="K90" i="1" a="1"/>
  <c r="J90" i="1" a="1"/>
  <c r="K94" i="1" a="1"/>
  <c r="M94" i="1" a="1"/>
  <c r="J94" i="1" a="1"/>
  <c r="M98" i="1" a="1"/>
  <c r="L98" i="1" a="1"/>
  <c r="K98" i="1" a="1"/>
  <c r="J98" i="1" a="1"/>
  <c r="K102" i="1" a="1"/>
  <c r="M102" i="1" a="1"/>
  <c r="J102" i="1" a="1"/>
  <c r="M106" i="1" a="1"/>
  <c r="K106" i="1" a="1"/>
  <c r="J106" i="1" a="1"/>
  <c r="L110" i="1" a="1"/>
  <c r="K110" i="1" a="1"/>
  <c r="M110" i="1" a="1"/>
  <c r="J110" i="1" a="1"/>
  <c r="M114" i="1" a="1"/>
  <c r="K114" i="1" a="1"/>
  <c r="J114" i="1" a="1"/>
  <c r="K118" i="1" a="1"/>
  <c r="L118" i="1" a="1"/>
  <c r="M118" i="1" a="1"/>
  <c r="J118" i="1" a="1"/>
  <c r="L122" i="1" a="1"/>
  <c r="M122" i="1" a="1"/>
  <c r="K122" i="1" a="1"/>
  <c r="J122" i="1" a="1"/>
  <c r="K126" i="1" a="1"/>
  <c r="M126" i="1" a="1"/>
  <c r="J126" i="1" a="1"/>
  <c r="M130" i="1" a="1"/>
  <c r="K130" i="1" a="1"/>
  <c r="J130" i="1" a="1"/>
  <c r="M134" i="1" a="1"/>
  <c r="K134" i="1" a="1"/>
  <c r="J134" i="1" a="1"/>
  <c r="M138" i="1" a="1"/>
  <c r="L138" i="1" a="1"/>
  <c r="K138" i="1" a="1"/>
  <c r="J138" i="1" a="1"/>
  <c r="M142" i="1" a="1"/>
  <c r="K142" i="1" a="1"/>
  <c r="L142" i="1" a="1"/>
  <c r="J142" i="1" a="1"/>
  <c r="L146" i="1" a="1"/>
  <c r="M146" i="1" a="1"/>
  <c r="K146" i="1" a="1"/>
  <c r="J146" i="1" a="1"/>
  <c r="J697" i="1" l="1"/>
  <c r="M697" i="1"/>
  <c r="K697" i="1"/>
  <c r="M615" i="1"/>
  <c r="J615" i="1"/>
  <c r="K615" i="1"/>
  <c r="M755" i="1"/>
  <c r="L755" i="1"/>
  <c r="K755" i="1"/>
  <c r="J755" i="1"/>
  <c r="J748" i="1"/>
  <c r="M748" i="1"/>
  <c r="K748" i="1"/>
  <c r="K717" i="1"/>
  <c r="J717" i="1"/>
  <c r="M717" i="1"/>
  <c r="M525" i="1"/>
  <c r="K525" i="1"/>
  <c r="J525" i="1"/>
  <c r="M523" i="1"/>
  <c r="K523" i="1"/>
  <c r="L523" i="1"/>
  <c r="J523" i="1"/>
  <c r="M475" i="1"/>
  <c r="J475" i="1"/>
  <c r="K475" i="1"/>
  <c r="M411" i="1"/>
  <c r="L411" i="1"/>
  <c r="K411" i="1"/>
  <c r="J411" i="1"/>
  <c r="J498" i="1"/>
  <c r="M498" i="1"/>
  <c r="K498" i="1"/>
  <c r="L498" i="1"/>
  <c r="J402" i="1"/>
  <c r="M402" i="1"/>
  <c r="K402" i="1"/>
  <c r="L402" i="1"/>
  <c r="L492" i="1"/>
  <c r="K492" i="1"/>
  <c r="M492" i="1"/>
  <c r="J492" i="1"/>
  <c r="K453" i="1"/>
  <c r="J453" i="1"/>
  <c r="M453" i="1"/>
  <c r="L453" i="1"/>
  <c r="J394" i="1"/>
  <c r="K394" i="1"/>
  <c r="L394" i="1"/>
  <c r="M394" i="1"/>
  <c r="M327" i="1"/>
  <c r="K327" i="1"/>
  <c r="J327" i="1"/>
  <c r="M295" i="1"/>
  <c r="K295" i="1"/>
  <c r="J295" i="1"/>
  <c r="K674" i="1"/>
  <c r="J674" i="1"/>
  <c r="M674" i="1"/>
  <c r="L674" i="1"/>
  <c r="L412" i="1"/>
  <c r="K412" i="1"/>
  <c r="M412" i="1"/>
  <c r="J412" i="1"/>
  <c r="K404" i="1"/>
  <c r="J404" i="1"/>
  <c r="M404" i="1"/>
  <c r="J284" i="1"/>
  <c r="M284" i="1"/>
  <c r="L284" i="1"/>
  <c r="K284" i="1"/>
  <c r="M249" i="1"/>
  <c r="L249" i="1"/>
  <c r="K249" i="1"/>
  <c r="J249" i="1"/>
  <c r="M217" i="1"/>
  <c r="K217" i="1"/>
  <c r="J217" i="1"/>
  <c r="L217" i="1"/>
  <c r="M185" i="1"/>
  <c r="K185" i="1"/>
  <c r="J185" i="1"/>
  <c r="K367" i="1"/>
  <c r="L367" i="1"/>
  <c r="J367" i="1"/>
  <c r="M367" i="1"/>
  <c r="K285" i="1"/>
  <c r="J285" i="1"/>
  <c r="L285" i="1"/>
  <c r="M285" i="1"/>
  <c r="J326" i="1"/>
  <c r="K326" i="1"/>
  <c r="M326" i="1"/>
  <c r="J314" i="1"/>
  <c r="M314" i="1"/>
  <c r="K314" i="1"/>
  <c r="J216" i="1"/>
  <c r="M216" i="1"/>
  <c r="L216" i="1"/>
  <c r="K216" i="1"/>
  <c r="K155" i="1"/>
  <c r="M155" i="1"/>
  <c r="L155" i="1"/>
  <c r="J155" i="1"/>
  <c r="J202" i="1"/>
  <c r="M202" i="1"/>
  <c r="K202" i="1"/>
  <c r="K175" i="1"/>
  <c r="M175" i="1"/>
  <c r="J175" i="1"/>
  <c r="L175" i="1"/>
  <c r="M270" i="1"/>
  <c r="K270" i="1"/>
  <c r="J270" i="1"/>
  <c r="J192" i="1"/>
  <c r="K192" i="1"/>
  <c r="M192" i="1"/>
  <c r="L192" i="1"/>
  <c r="K231" i="1"/>
  <c r="J231" i="1"/>
  <c r="M231" i="1"/>
  <c r="K247" i="1"/>
  <c r="L247" i="1"/>
  <c r="J247" i="1"/>
  <c r="M247" i="1"/>
  <c r="K162" i="1"/>
  <c r="J162" i="1"/>
  <c r="M162" i="1"/>
  <c r="J306" i="1"/>
  <c r="K306" i="1"/>
  <c r="M306" i="1"/>
  <c r="K460" i="1"/>
  <c r="J460" i="1"/>
  <c r="M460" i="1"/>
  <c r="J745" i="1"/>
  <c r="K745" i="1"/>
  <c r="M745" i="1"/>
  <c r="J699" i="1"/>
  <c r="K699" i="1"/>
  <c r="M699" i="1"/>
  <c r="J696" i="1"/>
  <c r="M696" i="1"/>
  <c r="K696" i="1"/>
  <c r="M668" i="1"/>
  <c r="K668" i="1"/>
  <c r="J668" i="1"/>
  <c r="K750" i="1"/>
  <c r="J750" i="1"/>
  <c r="L750" i="1"/>
  <c r="M750" i="1"/>
  <c r="J677" i="1"/>
  <c r="M677" i="1"/>
  <c r="K677" i="1"/>
  <c r="J701" i="1"/>
  <c r="K701" i="1"/>
  <c r="M701" i="1"/>
  <c r="L701" i="1"/>
  <c r="L740" i="1"/>
  <c r="M740" i="1"/>
  <c r="K740" i="1"/>
  <c r="J740" i="1"/>
  <c r="J602" i="1"/>
  <c r="K602" i="1"/>
  <c r="M602" i="1"/>
  <c r="L602" i="1"/>
  <c r="L682" i="1"/>
  <c r="K682" i="1"/>
  <c r="M682" i="1"/>
  <c r="J682" i="1"/>
  <c r="K746" i="1"/>
  <c r="J746" i="1"/>
  <c r="M746" i="1"/>
  <c r="L661" i="1"/>
  <c r="K661" i="1"/>
  <c r="M661" i="1"/>
  <c r="J661" i="1"/>
  <c r="L681" i="1"/>
  <c r="J681" i="1"/>
  <c r="K681" i="1"/>
  <c r="M681" i="1"/>
  <c r="J599" i="1"/>
  <c r="K599" i="1"/>
  <c r="M599" i="1"/>
  <c r="L599" i="1"/>
  <c r="M564" i="1"/>
  <c r="J564" i="1"/>
  <c r="K564" i="1"/>
  <c r="M669" i="1"/>
  <c r="L669" i="1"/>
  <c r="J669" i="1"/>
  <c r="K669" i="1"/>
  <c r="M721" i="1"/>
  <c r="L721" i="1"/>
  <c r="K721" i="1"/>
  <c r="J721" i="1"/>
  <c r="K593" i="1"/>
  <c r="M593" i="1"/>
  <c r="J593" i="1"/>
  <c r="M524" i="1"/>
  <c r="J524" i="1"/>
  <c r="K524" i="1"/>
  <c r="L618" i="1"/>
  <c r="M618" i="1"/>
  <c r="J618" i="1"/>
  <c r="K618" i="1"/>
  <c r="J571" i="1"/>
  <c r="L571" i="1"/>
  <c r="M571" i="1"/>
  <c r="K571" i="1"/>
  <c r="J513" i="1"/>
  <c r="M513" i="1"/>
  <c r="K513" i="1"/>
  <c r="K562" i="1"/>
  <c r="M562" i="1"/>
  <c r="J562" i="1"/>
  <c r="J507" i="1"/>
  <c r="M507" i="1"/>
  <c r="L507" i="1"/>
  <c r="K507" i="1"/>
  <c r="M471" i="1"/>
  <c r="L471" i="1"/>
  <c r="J471" i="1"/>
  <c r="K471" i="1"/>
  <c r="M439" i="1"/>
  <c r="L439" i="1"/>
  <c r="K439" i="1"/>
  <c r="J439" i="1"/>
  <c r="M407" i="1"/>
  <c r="L407" i="1"/>
  <c r="K407" i="1"/>
  <c r="J407" i="1"/>
  <c r="L577" i="1"/>
  <c r="K577" i="1"/>
  <c r="M577" i="1"/>
  <c r="J577" i="1"/>
  <c r="K663" i="1"/>
  <c r="J663" i="1"/>
  <c r="L663" i="1"/>
  <c r="M663" i="1"/>
  <c r="J494" i="1"/>
  <c r="M494" i="1"/>
  <c r="K494" i="1"/>
  <c r="J462" i="1"/>
  <c r="M462" i="1"/>
  <c r="L462" i="1"/>
  <c r="K462" i="1"/>
  <c r="J430" i="1"/>
  <c r="M430" i="1"/>
  <c r="K430" i="1"/>
  <c r="J398" i="1"/>
  <c r="M398" i="1"/>
  <c r="K398" i="1"/>
  <c r="K558" i="1"/>
  <c r="L558" i="1"/>
  <c r="J558" i="1"/>
  <c r="M558" i="1"/>
  <c r="K540" i="1"/>
  <c r="M540" i="1"/>
  <c r="L540" i="1"/>
  <c r="J540" i="1"/>
  <c r="K488" i="1"/>
  <c r="M488" i="1"/>
  <c r="J488" i="1"/>
  <c r="J503" i="1"/>
  <c r="K503" i="1"/>
  <c r="M503" i="1"/>
  <c r="L503" i="1"/>
  <c r="L660" i="1"/>
  <c r="K660" i="1"/>
  <c r="J660" i="1"/>
  <c r="M660" i="1"/>
  <c r="L452" i="1"/>
  <c r="K452" i="1"/>
  <c r="M452" i="1"/>
  <c r="J452" i="1"/>
  <c r="M369" i="1"/>
  <c r="J369" i="1"/>
  <c r="K369" i="1"/>
  <c r="L369" i="1"/>
  <c r="K477" i="1"/>
  <c r="J477" i="1"/>
  <c r="M477" i="1"/>
  <c r="L477" i="1"/>
  <c r="K578" i="1"/>
  <c r="J578" i="1"/>
  <c r="M578" i="1"/>
  <c r="K375" i="1"/>
  <c r="J375" i="1"/>
  <c r="L375" i="1"/>
  <c r="M375" i="1"/>
  <c r="J356" i="1"/>
  <c r="K356" i="1"/>
  <c r="M356" i="1"/>
  <c r="M323" i="1"/>
  <c r="K323" i="1"/>
  <c r="J323" i="1"/>
  <c r="M291" i="1"/>
  <c r="K291" i="1"/>
  <c r="J291" i="1"/>
  <c r="K610" i="1"/>
  <c r="M610" i="1"/>
  <c r="J610" i="1"/>
  <c r="J364" i="1"/>
  <c r="M364" i="1"/>
  <c r="L364" i="1"/>
  <c r="K364" i="1"/>
  <c r="K393" i="1"/>
  <c r="J393" i="1"/>
  <c r="M393" i="1"/>
  <c r="K329" i="1"/>
  <c r="M329" i="1"/>
  <c r="L329" i="1"/>
  <c r="J329" i="1"/>
  <c r="K371" i="1"/>
  <c r="J371" i="1"/>
  <c r="M371" i="1"/>
  <c r="M277" i="1"/>
  <c r="K277" i="1"/>
  <c r="J277" i="1"/>
  <c r="L277" i="1"/>
  <c r="M245" i="1"/>
  <c r="J245" i="1"/>
  <c r="K245" i="1"/>
  <c r="M213" i="1"/>
  <c r="K213" i="1"/>
  <c r="J213" i="1"/>
  <c r="L213" i="1"/>
  <c r="M181" i="1"/>
  <c r="L181" i="1"/>
  <c r="K181" i="1"/>
  <c r="J181" i="1"/>
  <c r="J341" i="1"/>
  <c r="K341" i="1"/>
  <c r="M341" i="1"/>
  <c r="K457" i="1"/>
  <c r="J457" i="1"/>
  <c r="M457" i="1"/>
  <c r="J543" i="1"/>
  <c r="M543" i="1"/>
  <c r="K543" i="1"/>
  <c r="K301" i="1"/>
  <c r="L301" i="1"/>
  <c r="J301" i="1"/>
  <c r="M301" i="1"/>
  <c r="K211" i="1"/>
  <c r="M211" i="1"/>
  <c r="J211" i="1"/>
  <c r="M154" i="1"/>
  <c r="K154" i="1"/>
  <c r="J154" i="1"/>
  <c r="L178" i="1"/>
  <c r="J178" i="1"/>
  <c r="M178" i="1"/>
  <c r="K178" i="1"/>
  <c r="L165" i="1"/>
  <c r="K165" i="1"/>
  <c r="J165" i="1"/>
  <c r="M165" i="1"/>
  <c r="J256" i="1"/>
  <c r="K256" i="1"/>
  <c r="M256" i="1"/>
  <c r="L256" i="1"/>
  <c r="K187" i="1"/>
  <c r="L187" i="1"/>
  <c r="J187" i="1"/>
  <c r="M187" i="1"/>
  <c r="J208" i="1"/>
  <c r="K208" i="1"/>
  <c r="M208" i="1"/>
  <c r="J232" i="1"/>
  <c r="K232" i="1"/>
  <c r="M232" i="1"/>
  <c r="K243" i="1"/>
  <c r="M243" i="1"/>
  <c r="J243" i="1"/>
  <c r="K433" i="1"/>
  <c r="J433" i="1"/>
  <c r="M433" i="1"/>
  <c r="L433" i="1"/>
  <c r="K296" i="1"/>
  <c r="J296" i="1"/>
  <c r="M296" i="1"/>
  <c r="J264" i="1"/>
  <c r="M264" i="1"/>
  <c r="L264" i="1"/>
  <c r="K264" i="1"/>
  <c r="K259" i="1"/>
  <c r="J259" i="1"/>
  <c r="M259" i="1"/>
  <c r="L194" i="1"/>
  <c r="K194" i="1"/>
  <c r="M194" i="1"/>
  <c r="J194" i="1"/>
  <c r="L386" i="1"/>
  <c r="J386" i="1"/>
  <c r="M386" i="1"/>
  <c r="K386" i="1"/>
  <c r="J260" i="1"/>
  <c r="M260" i="1"/>
  <c r="K260" i="1"/>
  <c r="L169" i="1"/>
  <c r="K169" i="1"/>
  <c r="M169" i="1"/>
  <c r="J169" i="1"/>
  <c r="J200" i="1"/>
  <c r="M200" i="1"/>
  <c r="K200" i="1"/>
  <c r="M744" i="1"/>
  <c r="K744" i="1"/>
  <c r="J744" i="1"/>
  <c r="M757" i="1"/>
  <c r="L757" i="1"/>
  <c r="K757" i="1"/>
  <c r="J757" i="1"/>
  <c r="M695" i="1"/>
  <c r="K695" i="1"/>
  <c r="J695" i="1"/>
  <c r="M658" i="1"/>
  <c r="J658" i="1"/>
  <c r="K658" i="1"/>
  <c r="J729" i="1"/>
  <c r="M729" i="1"/>
  <c r="K729" i="1"/>
  <c r="M667" i="1"/>
  <c r="K667" i="1"/>
  <c r="J667" i="1"/>
  <c r="M700" i="1"/>
  <c r="J700" i="1"/>
  <c r="K700" i="1"/>
  <c r="L735" i="1"/>
  <c r="K735" i="1"/>
  <c r="J735" i="1"/>
  <c r="M735" i="1"/>
  <c r="J601" i="1"/>
  <c r="L601" i="1"/>
  <c r="K601" i="1"/>
  <c r="M601" i="1"/>
  <c r="L672" i="1"/>
  <c r="K672" i="1"/>
  <c r="J672" i="1"/>
  <c r="M672" i="1"/>
  <c r="L736" i="1"/>
  <c r="K736" i="1"/>
  <c r="J736" i="1"/>
  <c r="M736" i="1"/>
  <c r="M654" i="1"/>
  <c r="K654" i="1"/>
  <c r="J654" i="1"/>
  <c r="M680" i="1"/>
  <c r="K680" i="1"/>
  <c r="J680" i="1"/>
  <c r="K598" i="1"/>
  <c r="J598" i="1"/>
  <c r="M598" i="1"/>
  <c r="L598" i="1"/>
  <c r="M560" i="1"/>
  <c r="J560" i="1"/>
  <c r="K560" i="1"/>
  <c r="L650" i="1"/>
  <c r="K650" i="1"/>
  <c r="J650" i="1"/>
  <c r="M650" i="1"/>
  <c r="M711" i="1"/>
  <c r="K711" i="1"/>
  <c r="J711" i="1"/>
  <c r="J590" i="1"/>
  <c r="M590" i="1"/>
  <c r="K590" i="1"/>
  <c r="L590" i="1"/>
  <c r="M514" i="1"/>
  <c r="K514" i="1"/>
  <c r="J514" i="1"/>
  <c r="M616" i="1"/>
  <c r="J616" i="1"/>
  <c r="K616" i="1"/>
  <c r="K570" i="1"/>
  <c r="L570" i="1"/>
  <c r="M570" i="1"/>
  <c r="J570" i="1"/>
  <c r="J512" i="1"/>
  <c r="M512" i="1"/>
  <c r="K512" i="1"/>
  <c r="L512" i="1"/>
  <c r="K708" i="1"/>
  <c r="J708" i="1"/>
  <c r="M708" i="1"/>
  <c r="L708" i="1"/>
  <c r="J499" i="1"/>
  <c r="M499" i="1"/>
  <c r="K499" i="1"/>
  <c r="M467" i="1"/>
  <c r="K467" i="1"/>
  <c r="J467" i="1"/>
  <c r="M435" i="1"/>
  <c r="K435" i="1"/>
  <c r="J435" i="1"/>
  <c r="M403" i="1"/>
  <c r="L403" i="1"/>
  <c r="J403" i="1"/>
  <c r="K403" i="1"/>
  <c r="J575" i="1"/>
  <c r="K575" i="1"/>
  <c r="M575" i="1"/>
  <c r="L575" i="1"/>
  <c r="J583" i="1"/>
  <c r="K583" i="1"/>
  <c r="M583" i="1"/>
  <c r="L583" i="1"/>
  <c r="J490" i="1"/>
  <c r="M490" i="1"/>
  <c r="K490" i="1"/>
  <c r="L490" i="1"/>
  <c r="J458" i="1"/>
  <c r="M458" i="1"/>
  <c r="K458" i="1"/>
  <c r="L458" i="1"/>
  <c r="J426" i="1"/>
  <c r="M426" i="1"/>
  <c r="L426" i="1"/>
  <c r="K426" i="1"/>
  <c r="M754" i="1"/>
  <c r="K754" i="1"/>
  <c r="J754" i="1"/>
  <c r="J542" i="1"/>
  <c r="K542" i="1"/>
  <c r="M542" i="1"/>
  <c r="L527" i="1"/>
  <c r="M527" i="1"/>
  <c r="K527" i="1"/>
  <c r="J527" i="1"/>
  <c r="K484" i="1"/>
  <c r="M484" i="1"/>
  <c r="J484" i="1"/>
  <c r="K493" i="1"/>
  <c r="J493" i="1"/>
  <c r="M493" i="1"/>
  <c r="K621" i="1"/>
  <c r="M621" i="1"/>
  <c r="J621" i="1"/>
  <c r="L621" i="1"/>
  <c r="K424" i="1"/>
  <c r="M424" i="1"/>
  <c r="J424" i="1"/>
  <c r="M365" i="1"/>
  <c r="J365" i="1"/>
  <c r="K365" i="1"/>
  <c r="K429" i="1"/>
  <c r="J429" i="1"/>
  <c r="M429" i="1"/>
  <c r="K554" i="1"/>
  <c r="J554" i="1"/>
  <c r="M554" i="1"/>
  <c r="L554" i="1"/>
  <c r="J374" i="1"/>
  <c r="M374" i="1"/>
  <c r="K374" i="1"/>
  <c r="K355" i="1"/>
  <c r="M355" i="1"/>
  <c r="J355" i="1"/>
  <c r="M319" i="1"/>
  <c r="L319" i="1"/>
  <c r="K319" i="1"/>
  <c r="J319" i="1"/>
  <c r="M287" i="1"/>
  <c r="L287" i="1"/>
  <c r="K287" i="1"/>
  <c r="J287" i="1"/>
  <c r="K673" i="1"/>
  <c r="L673" i="1"/>
  <c r="M673" i="1"/>
  <c r="J673" i="1"/>
  <c r="K359" i="1"/>
  <c r="M359" i="1"/>
  <c r="L359" i="1"/>
  <c r="J359" i="1"/>
  <c r="K387" i="1"/>
  <c r="L387" i="1"/>
  <c r="M387" i="1"/>
  <c r="J387" i="1"/>
  <c r="K309" i="1"/>
  <c r="M309" i="1"/>
  <c r="L309" i="1"/>
  <c r="J309" i="1"/>
  <c r="M351" i="1"/>
  <c r="J351" i="1"/>
  <c r="K351" i="1"/>
  <c r="M273" i="1"/>
  <c r="K273" i="1"/>
  <c r="J273" i="1"/>
  <c r="M241" i="1"/>
  <c r="K241" i="1"/>
  <c r="J241" i="1"/>
  <c r="M209" i="1"/>
  <c r="L209" i="1"/>
  <c r="J209" i="1"/>
  <c r="K209" i="1"/>
  <c r="M177" i="1"/>
  <c r="J177" i="1"/>
  <c r="L177" i="1"/>
  <c r="K177" i="1"/>
  <c r="K335" i="1"/>
  <c r="J335" i="1"/>
  <c r="M335" i="1"/>
  <c r="K417" i="1"/>
  <c r="J417" i="1"/>
  <c r="M417" i="1"/>
  <c r="L417" i="1"/>
  <c r="M526" i="1"/>
  <c r="L526" i="1"/>
  <c r="K526" i="1"/>
  <c r="J526" i="1"/>
  <c r="K297" i="1"/>
  <c r="M297" i="1"/>
  <c r="L297" i="1"/>
  <c r="J297" i="1"/>
  <c r="J196" i="1"/>
  <c r="L196" i="1"/>
  <c r="M196" i="1"/>
  <c r="K196" i="1"/>
  <c r="K413" i="1"/>
  <c r="J413" i="1"/>
  <c r="M413" i="1"/>
  <c r="K227" i="1"/>
  <c r="J227" i="1"/>
  <c r="L227" i="1"/>
  <c r="M227" i="1"/>
  <c r="M352" i="1"/>
  <c r="J352" i="1"/>
  <c r="K352" i="1"/>
  <c r="K251" i="1"/>
  <c r="M251" i="1"/>
  <c r="J251" i="1"/>
  <c r="M186" i="1"/>
  <c r="J186" i="1"/>
  <c r="K186" i="1"/>
  <c r="J188" i="1"/>
  <c r="K188" i="1"/>
  <c r="M188" i="1"/>
  <c r="L188" i="1"/>
  <c r="L226" i="1"/>
  <c r="J226" i="1"/>
  <c r="M226" i="1"/>
  <c r="K226" i="1"/>
  <c r="J228" i="1"/>
  <c r="M228" i="1"/>
  <c r="L228" i="1"/>
  <c r="K228" i="1"/>
  <c r="K345" i="1"/>
  <c r="M345" i="1"/>
  <c r="J345" i="1"/>
  <c r="J268" i="1"/>
  <c r="K268" i="1"/>
  <c r="L268" i="1"/>
  <c r="M268" i="1"/>
  <c r="L444" i="1"/>
  <c r="K444" i="1"/>
  <c r="M444" i="1"/>
  <c r="J444" i="1"/>
  <c r="M258" i="1"/>
  <c r="K258" i="1"/>
  <c r="J258" i="1"/>
  <c r="J176" i="1"/>
  <c r="M176" i="1"/>
  <c r="K176" i="1"/>
  <c r="J360" i="1"/>
  <c r="K360" i="1"/>
  <c r="M360" i="1"/>
  <c r="L254" i="1"/>
  <c r="M254" i="1"/>
  <c r="K254" i="1"/>
  <c r="J254" i="1"/>
  <c r="K153" i="1"/>
  <c r="M153" i="1"/>
  <c r="J153" i="1"/>
  <c r="M292" i="1"/>
  <c r="K292" i="1"/>
  <c r="J292" i="1"/>
  <c r="M742" i="1"/>
  <c r="K742" i="1"/>
  <c r="J742" i="1"/>
  <c r="M756" i="1"/>
  <c r="K756" i="1"/>
  <c r="J756" i="1"/>
  <c r="K694" i="1"/>
  <c r="M694" i="1"/>
  <c r="J694" i="1"/>
  <c r="M657" i="1"/>
  <c r="K657" i="1"/>
  <c r="J657" i="1"/>
  <c r="J728" i="1"/>
  <c r="K728" i="1"/>
  <c r="M728" i="1"/>
  <c r="M656" i="1"/>
  <c r="K656" i="1"/>
  <c r="J656" i="1"/>
  <c r="J687" i="1"/>
  <c r="M687" i="1"/>
  <c r="K687" i="1"/>
  <c r="L687" i="1"/>
  <c r="K716" i="1"/>
  <c r="M716" i="1"/>
  <c r="J716" i="1"/>
  <c r="M595" i="1"/>
  <c r="K595" i="1"/>
  <c r="J595" i="1"/>
  <c r="M659" i="1"/>
  <c r="L659" i="1"/>
  <c r="J659" i="1"/>
  <c r="K659" i="1"/>
  <c r="J747" i="1"/>
  <c r="K747" i="1"/>
  <c r="M747" i="1"/>
  <c r="L639" i="1"/>
  <c r="K639" i="1"/>
  <c r="J639" i="1"/>
  <c r="M639" i="1"/>
  <c r="K651" i="1"/>
  <c r="J651" i="1"/>
  <c r="M651" i="1"/>
  <c r="K597" i="1"/>
  <c r="M597" i="1"/>
  <c r="L597" i="1"/>
  <c r="J597" i="1"/>
  <c r="M556" i="1"/>
  <c r="K556" i="1"/>
  <c r="L556" i="1"/>
  <c r="J556" i="1"/>
  <c r="M638" i="1"/>
  <c r="K638" i="1"/>
  <c r="J638" i="1"/>
  <c r="L638" i="1"/>
  <c r="L671" i="1"/>
  <c r="K671" i="1"/>
  <c r="M671" i="1"/>
  <c r="J671" i="1"/>
  <c r="K586" i="1"/>
  <c r="J586" i="1"/>
  <c r="M586" i="1"/>
  <c r="M508" i="1"/>
  <c r="L508" i="1"/>
  <c r="J508" i="1"/>
  <c r="K508" i="1"/>
  <c r="L614" i="1"/>
  <c r="K614" i="1"/>
  <c r="J614" i="1"/>
  <c r="M614" i="1"/>
  <c r="L569" i="1"/>
  <c r="K569" i="1"/>
  <c r="J569" i="1"/>
  <c r="M569" i="1"/>
  <c r="M749" i="1"/>
  <c r="L749" i="1"/>
  <c r="K749" i="1"/>
  <c r="J749" i="1"/>
  <c r="K664" i="1"/>
  <c r="J664" i="1"/>
  <c r="M664" i="1"/>
  <c r="M495" i="1"/>
  <c r="J495" i="1"/>
  <c r="K495" i="1"/>
  <c r="M463" i="1"/>
  <c r="L463" i="1"/>
  <c r="J463" i="1"/>
  <c r="K463" i="1"/>
  <c r="M431" i="1"/>
  <c r="K431" i="1"/>
  <c r="J431" i="1"/>
  <c r="M399" i="1"/>
  <c r="J399" i="1"/>
  <c r="K399" i="1"/>
  <c r="K541" i="1"/>
  <c r="M541" i="1"/>
  <c r="L541" i="1"/>
  <c r="J541" i="1"/>
  <c r="J567" i="1"/>
  <c r="M567" i="1"/>
  <c r="K567" i="1"/>
  <c r="J486" i="1"/>
  <c r="M486" i="1"/>
  <c r="K486" i="1"/>
  <c r="L486" i="1"/>
  <c r="J454" i="1"/>
  <c r="M454" i="1"/>
  <c r="K454" i="1"/>
  <c r="L454" i="1"/>
  <c r="J422" i="1"/>
  <c r="M422" i="1"/>
  <c r="K422" i="1"/>
  <c r="K706" i="1"/>
  <c r="J706" i="1"/>
  <c r="M706" i="1"/>
  <c r="L706" i="1"/>
  <c r="J532" i="1"/>
  <c r="L532" i="1"/>
  <c r="K532" i="1"/>
  <c r="M532" i="1"/>
  <c r="J522" i="1"/>
  <c r="M522" i="1"/>
  <c r="L522" i="1"/>
  <c r="K522" i="1"/>
  <c r="L480" i="1"/>
  <c r="K480" i="1"/>
  <c r="M480" i="1"/>
  <c r="J480" i="1"/>
  <c r="K449" i="1"/>
  <c r="J449" i="1"/>
  <c r="M449" i="1"/>
  <c r="L449" i="1"/>
  <c r="L565" i="1"/>
  <c r="M565" i="1"/>
  <c r="J565" i="1"/>
  <c r="K565" i="1"/>
  <c r="K401" i="1"/>
  <c r="J401" i="1"/>
  <c r="M401" i="1"/>
  <c r="M361" i="1"/>
  <c r="J361" i="1"/>
  <c r="L361" i="1"/>
  <c r="K361" i="1"/>
  <c r="L428" i="1"/>
  <c r="K428" i="1"/>
  <c r="J428" i="1"/>
  <c r="M428" i="1"/>
  <c r="J533" i="1"/>
  <c r="M533" i="1"/>
  <c r="L533" i="1"/>
  <c r="K533" i="1"/>
  <c r="M353" i="1"/>
  <c r="L353" i="1"/>
  <c r="K353" i="1"/>
  <c r="J353" i="1"/>
  <c r="L354" i="1"/>
  <c r="K354" i="1"/>
  <c r="J354" i="1"/>
  <c r="M354" i="1"/>
  <c r="M315" i="1"/>
  <c r="J315" i="1"/>
  <c r="L315" i="1"/>
  <c r="K315" i="1"/>
  <c r="J644" i="1"/>
  <c r="L644" i="1"/>
  <c r="K644" i="1"/>
  <c r="M644" i="1"/>
  <c r="K473" i="1"/>
  <c r="J473" i="1"/>
  <c r="M473" i="1"/>
  <c r="M358" i="1"/>
  <c r="J358" i="1"/>
  <c r="K358" i="1"/>
  <c r="K383" i="1"/>
  <c r="M383" i="1"/>
  <c r="L383" i="1"/>
  <c r="J383" i="1"/>
  <c r="J294" i="1"/>
  <c r="M294" i="1"/>
  <c r="K294" i="1"/>
  <c r="J330" i="1"/>
  <c r="K330" i="1"/>
  <c r="M330" i="1"/>
  <c r="M269" i="1"/>
  <c r="L269" i="1"/>
  <c r="K269" i="1"/>
  <c r="J269" i="1"/>
  <c r="M237" i="1"/>
  <c r="K237" i="1"/>
  <c r="J237" i="1"/>
  <c r="M205" i="1"/>
  <c r="K205" i="1"/>
  <c r="J205" i="1"/>
  <c r="M173" i="1"/>
  <c r="K173" i="1"/>
  <c r="J173" i="1"/>
  <c r="K325" i="1"/>
  <c r="J325" i="1"/>
  <c r="M325" i="1"/>
  <c r="L408" i="1"/>
  <c r="K408" i="1"/>
  <c r="J408" i="1"/>
  <c r="M408" i="1"/>
  <c r="L440" i="1"/>
  <c r="K440" i="1"/>
  <c r="M440" i="1"/>
  <c r="J440" i="1"/>
  <c r="J276" i="1"/>
  <c r="M276" i="1"/>
  <c r="K276" i="1"/>
  <c r="K191" i="1"/>
  <c r="L191" i="1"/>
  <c r="M191" i="1"/>
  <c r="J191" i="1"/>
  <c r="L392" i="1"/>
  <c r="K392" i="1"/>
  <c r="M392" i="1"/>
  <c r="J392" i="1"/>
  <c r="L222" i="1"/>
  <c r="K222" i="1"/>
  <c r="J222" i="1"/>
  <c r="M222" i="1"/>
  <c r="J337" i="1"/>
  <c r="K337" i="1"/>
  <c r="M337" i="1"/>
  <c r="L337" i="1"/>
  <c r="M250" i="1"/>
  <c r="K250" i="1"/>
  <c r="J250" i="1"/>
  <c r="J157" i="1"/>
  <c r="M157" i="1"/>
  <c r="K157" i="1"/>
  <c r="L182" i="1"/>
  <c r="J182" i="1"/>
  <c r="M182" i="1"/>
  <c r="K182" i="1"/>
  <c r="K203" i="1"/>
  <c r="J203" i="1"/>
  <c r="M203" i="1"/>
  <c r="J198" i="1"/>
  <c r="K198" i="1"/>
  <c r="M198" i="1"/>
  <c r="J342" i="1"/>
  <c r="M342" i="1"/>
  <c r="K342" i="1"/>
  <c r="K263" i="1"/>
  <c r="J263" i="1"/>
  <c r="L263" i="1"/>
  <c r="M263" i="1"/>
  <c r="K441" i="1"/>
  <c r="J441" i="1"/>
  <c r="M441" i="1"/>
  <c r="J244" i="1"/>
  <c r="M244" i="1"/>
  <c r="K244" i="1"/>
  <c r="M168" i="1"/>
  <c r="L168" i="1"/>
  <c r="J168" i="1"/>
  <c r="K168" i="1"/>
  <c r="M350" i="1"/>
  <c r="L350" i="1"/>
  <c r="K350" i="1"/>
  <c r="J350" i="1"/>
  <c r="K239" i="1"/>
  <c r="M239" i="1"/>
  <c r="J239" i="1"/>
  <c r="J204" i="1"/>
  <c r="K204" i="1"/>
  <c r="M204" i="1"/>
  <c r="M278" i="1"/>
  <c r="L278" i="1"/>
  <c r="J278" i="1"/>
  <c r="K278" i="1"/>
  <c r="K741" i="1"/>
  <c r="J741" i="1"/>
  <c r="M741" i="1"/>
  <c r="M725" i="1"/>
  <c r="J725" i="1"/>
  <c r="L725" i="1"/>
  <c r="K725" i="1"/>
  <c r="M692" i="1"/>
  <c r="K692" i="1"/>
  <c r="J692" i="1"/>
  <c r="M647" i="1"/>
  <c r="L647" i="1"/>
  <c r="J647" i="1"/>
  <c r="K647" i="1"/>
  <c r="K727" i="1"/>
  <c r="J727" i="1"/>
  <c r="M727" i="1"/>
  <c r="K751" i="1"/>
  <c r="J751" i="1"/>
  <c r="M751" i="1"/>
  <c r="L751" i="1"/>
  <c r="J676" i="1"/>
  <c r="K676" i="1"/>
  <c r="M676" i="1"/>
  <c r="K712" i="1"/>
  <c r="J712" i="1"/>
  <c r="M712" i="1"/>
  <c r="M591" i="1"/>
  <c r="L591" i="1"/>
  <c r="K591" i="1"/>
  <c r="J591" i="1"/>
  <c r="L629" i="1"/>
  <c r="J629" i="1"/>
  <c r="M629" i="1"/>
  <c r="K629" i="1"/>
  <c r="M732" i="1"/>
  <c r="K732" i="1"/>
  <c r="J732" i="1"/>
  <c r="M617" i="1"/>
  <c r="L617" i="1"/>
  <c r="K617" i="1"/>
  <c r="J617" i="1"/>
  <c r="M648" i="1"/>
  <c r="L648" i="1"/>
  <c r="K648" i="1"/>
  <c r="J648" i="1"/>
  <c r="M584" i="1"/>
  <c r="L584" i="1"/>
  <c r="J584" i="1"/>
  <c r="K584" i="1"/>
  <c r="M552" i="1"/>
  <c r="J552" i="1"/>
  <c r="K552" i="1"/>
  <c r="K635" i="1"/>
  <c r="J635" i="1"/>
  <c r="M635" i="1"/>
  <c r="M646" i="1"/>
  <c r="L646" i="1"/>
  <c r="K646" i="1"/>
  <c r="J646" i="1"/>
  <c r="J551" i="1"/>
  <c r="L551" i="1"/>
  <c r="K551" i="1"/>
  <c r="M551" i="1"/>
  <c r="M504" i="1"/>
  <c r="K504" i="1"/>
  <c r="J504" i="1"/>
  <c r="J612" i="1"/>
  <c r="K612" i="1"/>
  <c r="M612" i="1"/>
  <c r="K549" i="1"/>
  <c r="M549" i="1"/>
  <c r="J549" i="1"/>
  <c r="K653" i="1"/>
  <c r="J653" i="1"/>
  <c r="M653" i="1"/>
  <c r="K641" i="1"/>
  <c r="J641" i="1"/>
  <c r="M641" i="1"/>
  <c r="M491" i="1"/>
  <c r="L491" i="1"/>
  <c r="J491" i="1"/>
  <c r="K491" i="1"/>
  <c r="M459" i="1"/>
  <c r="L459" i="1"/>
  <c r="J459" i="1"/>
  <c r="K459" i="1"/>
  <c r="M427" i="1"/>
  <c r="L427" i="1"/>
  <c r="J427" i="1"/>
  <c r="K427" i="1"/>
  <c r="M395" i="1"/>
  <c r="K395" i="1"/>
  <c r="J395" i="1"/>
  <c r="L395" i="1"/>
  <c r="K530" i="1"/>
  <c r="L530" i="1"/>
  <c r="M530" i="1"/>
  <c r="J530" i="1"/>
  <c r="L553" i="1"/>
  <c r="J553" i="1"/>
  <c r="K553" i="1"/>
  <c r="M553" i="1"/>
  <c r="J482" i="1"/>
  <c r="M482" i="1"/>
  <c r="K482" i="1"/>
  <c r="J450" i="1"/>
  <c r="M450" i="1"/>
  <c r="K450" i="1"/>
  <c r="J418" i="1"/>
  <c r="M418" i="1"/>
  <c r="K418" i="1"/>
  <c r="J652" i="1"/>
  <c r="K652" i="1"/>
  <c r="M652" i="1"/>
  <c r="K520" i="1"/>
  <c r="J520" i="1"/>
  <c r="M520" i="1"/>
  <c r="L516" i="1"/>
  <c r="M516" i="1"/>
  <c r="K516" i="1"/>
  <c r="J516" i="1"/>
  <c r="K606" i="1"/>
  <c r="M606" i="1"/>
  <c r="J606" i="1"/>
  <c r="L448" i="1"/>
  <c r="K448" i="1"/>
  <c r="M448" i="1"/>
  <c r="J448" i="1"/>
  <c r="J521" i="1"/>
  <c r="M521" i="1"/>
  <c r="K521" i="1"/>
  <c r="M389" i="1"/>
  <c r="J389" i="1"/>
  <c r="K389" i="1"/>
  <c r="M357" i="1"/>
  <c r="K357" i="1"/>
  <c r="L357" i="1"/>
  <c r="J357" i="1"/>
  <c r="K405" i="1"/>
  <c r="J405" i="1"/>
  <c r="M405" i="1"/>
  <c r="K461" i="1"/>
  <c r="J461" i="1"/>
  <c r="M461" i="1"/>
  <c r="L734" i="1"/>
  <c r="K734" i="1"/>
  <c r="J734" i="1"/>
  <c r="M734" i="1"/>
  <c r="J340" i="1"/>
  <c r="M340" i="1"/>
  <c r="L340" i="1"/>
  <c r="K340" i="1"/>
  <c r="M311" i="1"/>
  <c r="K311" i="1"/>
  <c r="J311" i="1"/>
  <c r="L311" i="1"/>
  <c r="L539" i="1"/>
  <c r="K539" i="1"/>
  <c r="J539" i="1"/>
  <c r="M539" i="1"/>
  <c r="K469" i="1"/>
  <c r="J469" i="1"/>
  <c r="M469" i="1"/>
  <c r="M349" i="1"/>
  <c r="L349" i="1"/>
  <c r="K349" i="1"/>
  <c r="J349" i="1"/>
  <c r="J366" i="1"/>
  <c r="K366" i="1"/>
  <c r="M366" i="1"/>
  <c r="M283" i="1"/>
  <c r="L283" i="1"/>
  <c r="K283" i="1"/>
  <c r="J283" i="1"/>
  <c r="J324" i="1"/>
  <c r="M324" i="1"/>
  <c r="K324" i="1"/>
  <c r="M265" i="1"/>
  <c r="L265" i="1"/>
  <c r="K265" i="1"/>
  <c r="J265" i="1"/>
  <c r="M233" i="1"/>
  <c r="K233" i="1"/>
  <c r="J233" i="1"/>
  <c r="M201" i="1"/>
  <c r="J201" i="1"/>
  <c r="K201" i="1"/>
  <c r="M537" i="1"/>
  <c r="K537" i="1"/>
  <c r="J537" i="1"/>
  <c r="L320" i="1"/>
  <c r="J320" i="1"/>
  <c r="M320" i="1"/>
  <c r="K320" i="1"/>
  <c r="J380" i="1"/>
  <c r="K380" i="1"/>
  <c r="M380" i="1"/>
  <c r="L382" i="1"/>
  <c r="K382" i="1"/>
  <c r="M382" i="1"/>
  <c r="J382" i="1"/>
  <c r="K255" i="1"/>
  <c r="L255" i="1"/>
  <c r="M255" i="1"/>
  <c r="J255" i="1"/>
  <c r="J172" i="1"/>
  <c r="M172" i="1"/>
  <c r="K172" i="1"/>
  <c r="L266" i="1"/>
  <c r="J266" i="1"/>
  <c r="K266" i="1"/>
  <c r="M266" i="1"/>
  <c r="K179" i="1"/>
  <c r="J179" i="1"/>
  <c r="M179" i="1"/>
  <c r="M328" i="1"/>
  <c r="J328" i="1"/>
  <c r="K328" i="1"/>
  <c r="J236" i="1"/>
  <c r="K236" i="1"/>
  <c r="M236" i="1"/>
  <c r="J372" i="1"/>
  <c r="M372" i="1"/>
  <c r="K372" i="1"/>
  <c r="K160" i="1"/>
  <c r="M160" i="1"/>
  <c r="J160" i="1"/>
  <c r="K183" i="1"/>
  <c r="L183" i="1"/>
  <c r="J183" i="1"/>
  <c r="M183" i="1"/>
  <c r="J174" i="1"/>
  <c r="K174" i="1"/>
  <c r="M174" i="1"/>
  <c r="K321" i="1"/>
  <c r="L321" i="1"/>
  <c r="J321" i="1"/>
  <c r="M321" i="1"/>
  <c r="K262" i="1"/>
  <c r="J262" i="1"/>
  <c r="M262" i="1"/>
  <c r="L436" i="1"/>
  <c r="K436" i="1"/>
  <c r="J436" i="1"/>
  <c r="M436" i="1"/>
  <c r="L238" i="1"/>
  <c r="M238" i="1"/>
  <c r="K238" i="1"/>
  <c r="J238" i="1"/>
  <c r="M167" i="1"/>
  <c r="K167" i="1"/>
  <c r="L167" i="1"/>
  <c r="J167" i="1"/>
  <c r="L316" i="1"/>
  <c r="K316" i="1"/>
  <c r="J316" i="1"/>
  <c r="M316" i="1"/>
  <c r="J220" i="1"/>
  <c r="M220" i="1"/>
  <c r="L220" i="1"/>
  <c r="K220" i="1"/>
  <c r="L163" i="1"/>
  <c r="J163" i="1"/>
  <c r="K163" i="1"/>
  <c r="M163" i="1"/>
  <c r="K709" i="1"/>
  <c r="L709" i="1"/>
  <c r="J709" i="1"/>
  <c r="M709" i="1"/>
  <c r="M678" i="1"/>
  <c r="J678" i="1"/>
  <c r="K678" i="1"/>
  <c r="L649" i="1"/>
  <c r="K649" i="1"/>
  <c r="J649" i="1"/>
  <c r="M649" i="1"/>
  <c r="L683" i="1"/>
  <c r="K683" i="1"/>
  <c r="J683" i="1"/>
  <c r="M683" i="1"/>
  <c r="J600" i="1"/>
  <c r="M600" i="1"/>
  <c r="L600" i="1"/>
  <c r="K600" i="1"/>
  <c r="L592" i="1"/>
  <c r="M592" i="1"/>
  <c r="J592" i="1"/>
  <c r="K592" i="1"/>
  <c r="K582" i="1"/>
  <c r="M582" i="1"/>
  <c r="J582" i="1"/>
  <c r="L517" i="1"/>
  <c r="M517" i="1"/>
  <c r="J517" i="1"/>
  <c r="K517" i="1"/>
  <c r="M443" i="1"/>
  <c r="J443" i="1"/>
  <c r="K443" i="1"/>
  <c r="M670" i="1"/>
  <c r="L670" i="1"/>
  <c r="K670" i="1"/>
  <c r="J670" i="1"/>
  <c r="J466" i="1"/>
  <c r="M466" i="1"/>
  <c r="K466" i="1"/>
  <c r="L466" i="1"/>
  <c r="K561" i="1"/>
  <c r="J561" i="1"/>
  <c r="M561" i="1"/>
  <c r="K538" i="1"/>
  <c r="J538" i="1"/>
  <c r="M538" i="1"/>
  <c r="M373" i="1"/>
  <c r="L373" i="1"/>
  <c r="J373" i="1"/>
  <c r="K373" i="1"/>
  <c r="J640" i="1"/>
  <c r="K640" i="1"/>
  <c r="M640" i="1"/>
  <c r="M378" i="1"/>
  <c r="K378" i="1"/>
  <c r="J378" i="1"/>
  <c r="L190" i="1"/>
  <c r="M190" i="1"/>
  <c r="K190" i="1"/>
  <c r="J190" i="1"/>
  <c r="J731" i="1"/>
  <c r="L731" i="1"/>
  <c r="M731" i="1"/>
  <c r="K731" i="1"/>
  <c r="L724" i="1"/>
  <c r="M724" i="1"/>
  <c r="K724" i="1"/>
  <c r="J724" i="1"/>
  <c r="M691" i="1"/>
  <c r="J691" i="1"/>
  <c r="K691" i="1"/>
  <c r="K636" i="1"/>
  <c r="J636" i="1"/>
  <c r="M636" i="1"/>
  <c r="K726" i="1"/>
  <c r="J726" i="1"/>
  <c r="M726" i="1"/>
  <c r="J730" i="1"/>
  <c r="K730" i="1"/>
  <c r="M730" i="1"/>
  <c r="J666" i="1"/>
  <c r="K666" i="1"/>
  <c r="M666" i="1"/>
  <c r="J707" i="1"/>
  <c r="K707" i="1"/>
  <c r="L707" i="1"/>
  <c r="M707" i="1"/>
  <c r="K752" i="1"/>
  <c r="J752" i="1"/>
  <c r="M752" i="1"/>
  <c r="J628" i="1"/>
  <c r="K628" i="1"/>
  <c r="M628" i="1"/>
  <c r="K715" i="1"/>
  <c r="J715" i="1"/>
  <c r="M715" i="1"/>
  <c r="J613" i="1"/>
  <c r="L613" i="1"/>
  <c r="K613" i="1"/>
  <c r="M613" i="1"/>
  <c r="J645" i="1"/>
  <c r="L645" i="1"/>
  <c r="M645" i="1"/>
  <c r="K645" i="1"/>
  <c r="M580" i="1"/>
  <c r="J580" i="1"/>
  <c r="K580" i="1"/>
  <c r="M548" i="1"/>
  <c r="K548" i="1"/>
  <c r="J548" i="1"/>
  <c r="M624" i="1"/>
  <c r="J624" i="1"/>
  <c r="L624" i="1"/>
  <c r="K624" i="1"/>
  <c r="K642" i="1"/>
  <c r="M642" i="1"/>
  <c r="J642" i="1"/>
  <c r="K550" i="1"/>
  <c r="M550" i="1"/>
  <c r="J550" i="1"/>
  <c r="M500" i="1"/>
  <c r="J500" i="1"/>
  <c r="K500" i="1"/>
  <c r="L608" i="1"/>
  <c r="K608" i="1"/>
  <c r="J608" i="1"/>
  <c r="M608" i="1"/>
  <c r="K545" i="1"/>
  <c r="J545" i="1"/>
  <c r="L545" i="1"/>
  <c r="M545" i="1"/>
  <c r="M637" i="1"/>
  <c r="K637" i="1"/>
  <c r="L637" i="1"/>
  <c r="J637" i="1"/>
  <c r="L557" i="1"/>
  <c r="K557" i="1"/>
  <c r="J557" i="1"/>
  <c r="M557" i="1"/>
  <c r="M487" i="1"/>
  <c r="L487" i="1"/>
  <c r="J487" i="1"/>
  <c r="K487" i="1"/>
  <c r="M455" i="1"/>
  <c r="L455" i="1"/>
  <c r="K455" i="1"/>
  <c r="J455" i="1"/>
  <c r="M423" i="1"/>
  <c r="J423" i="1"/>
  <c r="K423" i="1"/>
  <c r="M391" i="1"/>
  <c r="K391" i="1"/>
  <c r="J391" i="1"/>
  <c r="L518" i="1"/>
  <c r="K518" i="1"/>
  <c r="J518" i="1"/>
  <c r="M518" i="1"/>
  <c r="M536" i="1"/>
  <c r="J536" i="1"/>
  <c r="K536" i="1"/>
  <c r="J478" i="1"/>
  <c r="M478" i="1"/>
  <c r="L478" i="1"/>
  <c r="K478" i="1"/>
  <c r="J446" i="1"/>
  <c r="M446" i="1"/>
  <c r="K446" i="1"/>
  <c r="J414" i="1"/>
  <c r="M414" i="1"/>
  <c r="K414" i="1"/>
  <c r="K631" i="1"/>
  <c r="J631" i="1"/>
  <c r="M631" i="1"/>
  <c r="J505" i="1"/>
  <c r="M505" i="1"/>
  <c r="K505" i="1"/>
  <c r="J511" i="1"/>
  <c r="M511" i="1"/>
  <c r="L511" i="1"/>
  <c r="K511" i="1"/>
  <c r="J588" i="1"/>
  <c r="K588" i="1"/>
  <c r="M588" i="1"/>
  <c r="K425" i="1"/>
  <c r="J425" i="1"/>
  <c r="M425" i="1"/>
  <c r="L476" i="1"/>
  <c r="K476" i="1"/>
  <c r="J476" i="1"/>
  <c r="M476" i="1"/>
  <c r="M385" i="1"/>
  <c r="J385" i="1"/>
  <c r="K385" i="1"/>
  <c r="J547" i="1"/>
  <c r="M547" i="1"/>
  <c r="K547" i="1"/>
  <c r="L547" i="1"/>
  <c r="K400" i="1"/>
  <c r="J400" i="1"/>
  <c r="M400" i="1"/>
  <c r="K437" i="1"/>
  <c r="J437" i="1"/>
  <c r="M437" i="1"/>
  <c r="L581" i="1"/>
  <c r="M581" i="1"/>
  <c r="K581" i="1"/>
  <c r="J581" i="1"/>
  <c r="K339" i="1"/>
  <c r="M339" i="1"/>
  <c r="L339" i="1"/>
  <c r="J339" i="1"/>
  <c r="M307" i="1"/>
  <c r="K307" i="1"/>
  <c r="J307" i="1"/>
  <c r="M528" i="1"/>
  <c r="J528" i="1"/>
  <c r="K528" i="1"/>
  <c r="K445" i="1"/>
  <c r="J445" i="1"/>
  <c r="M445" i="1"/>
  <c r="L445" i="1"/>
  <c r="K489" i="1"/>
  <c r="J489" i="1"/>
  <c r="M489" i="1"/>
  <c r="L362" i="1"/>
  <c r="K362" i="1"/>
  <c r="M362" i="1"/>
  <c r="J362" i="1"/>
  <c r="M282" i="1"/>
  <c r="K282" i="1"/>
  <c r="J282" i="1"/>
  <c r="J310" i="1"/>
  <c r="K310" i="1"/>
  <c r="M310" i="1"/>
  <c r="L310" i="1"/>
  <c r="M261" i="1"/>
  <c r="J261" i="1"/>
  <c r="K261" i="1"/>
  <c r="M229" i="1"/>
  <c r="J229" i="1"/>
  <c r="K229" i="1"/>
  <c r="M197" i="1"/>
  <c r="K197" i="1"/>
  <c r="J197" i="1"/>
  <c r="L197" i="1"/>
  <c r="M509" i="1"/>
  <c r="K509" i="1"/>
  <c r="J509" i="1"/>
  <c r="K305" i="1"/>
  <c r="J305" i="1"/>
  <c r="M305" i="1"/>
  <c r="K346" i="1"/>
  <c r="J346" i="1"/>
  <c r="M346" i="1"/>
  <c r="K363" i="1"/>
  <c r="M363" i="1"/>
  <c r="L363" i="1"/>
  <c r="J363" i="1"/>
  <c r="J240" i="1"/>
  <c r="M240" i="1"/>
  <c r="K240" i="1"/>
  <c r="K171" i="1"/>
  <c r="M171" i="1"/>
  <c r="J171" i="1"/>
  <c r="J230" i="1"/>
  <c r="M230" i="1"/>
  <c r="K230" i="1"/>
  <c r="J164" i="1"/>
  <c r="K164" i="1"/>
  <c r="M164" i="1"/>
  <c r="K312" i="1"/>
  <c r="J312" i="1"/>
  <c r="M312" i="1"/>
  <c r="J212" i="1"/>
  <c r="K212" i="1"/>
  <c r="M212" i="1"/>
  <c r="K332" i="1"/>
  <c r="J332" i="1"/>
  <c r="M332" i="1"/>
  <c r="J158" i="1"/>
  <c r="M158" i="1"/>
  <c r="K158" i="1"/>
  <c r="K161" i="1"/>
  <c r="J161" i="1"/>
  <c r="M161" i="1"/>
  <c r="L396" i="1"/>
  <c r="J396" i="1"/>
  <c r="M396" i="1"/>
  <c r="K396" i="1"/>
  <c r="K317" i="1"/>
  <c r="M317" i="1"/>
  <c r="L317" i="1"/>
  <c r="J317" i="1"/>
  <c r="K502" i="1"/>
  <c r="L502" i="1"/>
  <c r="J502" i="1"/>
  <c r="M502" i="1"/>
  <c r="J390" i="1"/>
  <c r="M390" i="1"/>
  <c r="L390" i="1"/>
  <c r="K390" i="1"/>
  <c r="J224" i="1"/>
  <c r="L224" i="1"/>
  <c r="K224" i="1"/>
  <c r="M224" i="1"/>
  <c r="M166" i="1"/>
  <c r="K166" i="1"/>
  <c r="J166" i="1"/>
  <c r="L166" i="1"/>
  <c r="L288" i="1"/>
  <c r="M288" i="1"/>
  <c r="K288" i="1"/>
  <c r="J288" i="1"/>
  <c r="K215" i="1"/>
  <c r="J215" i="1"/>
  <c r="M215" i="1"/>
  <c r="L215" i="1"/>
  <c r="K223" i="1"/>
  <c r="M223" i="1"/>
  <c r="L223" i="1"/>
  <c r="J223" i="1"/>
  <c r="M679" i="1"/>
  <c r="K679" i="1"/>
  <c r="J679" i="1"/>
  <c r="L703" i="1"/>
  <c r="J703" i="1"/>
  <c r="M703" i="1"/>
  <c r="K703" i="1"/>
  <c r="J702" i="1"/>
  <c r="K702" i="1"/>
  <c r="M702" i="1"/>
  <c r="K713" i="1"/>
  <c r="J713" i="1"/>
  <c r="M713" i="1"/>
  <c r="M568" i="1"/>
  <c r="K568" i="1"/>
  <c r="J568" i="1"/>
  <c r="K605" i="1"/>
  <c r="M605" i="1"/>
  <c r="J605" i="1"/>
  <c r="J634" i="1"/>
  <c r="K634" i="1"/>
  <c r="M634" i="1"/>
  <c r="L634" i="1"/>
  <c r="J563" i="1"/>
  <c r="M563" i="1"/>
  <c r="K563" i="1"/>
  <c r="M603" i="1"/>
  <c r="J603" i="1"/>
  <c r="K603" i="1"/>
  <c r="J434" i="1"/>
  <c r="M434" i="1"/>
  <c r="K434" i="1"/>
  <c r="J559" i="1"/>
  <c r="M559" i="1"/>
  <c r="K559" i="1"/>
  <c r="K714" i="1"/>
  <c r="M714" i="1"/>
  <c r="J714" i="1"/>
  <c r="K497" i="1"/>
  <c r="J497" i="1"/>
  <c r="L497" i="1"/>
  <c r="M497" i="1"/>
  <c r="L370" i="1"/>
  <c r="M370" i="1"/>
  <c r="K370" i="1"/>
  <c r="J370" i="1"/>
  <c r="K334" i="1"/>
  <c r="M334" i="1"/>
  <c r="J334" i="1"/>
  <c r="L334" i="1"/>
  <c r="K274" i="1"/>
  <c r="M274" i="1"/>
  <c r="J274" i="1"/>
  <c r="M720" i="1"/>
  <c r="K720" i="1"/>
  <c r="J720" i="1"/>
  <c r="M723" i="1"/>
  <c r="J723" i="1"/>
  <c r="L723" i="1"/>
  <c r="K723" i="1"/>
  <c r="M690" i="1"/>
  <c r="L690" i="1"/>
  <c r="K690" i="1"/>
  <c r="J690" i="1"/>
  <c r="K626" i="1"/>
  <c r="J626" i="1"/>
  <c r="M626" i="1"/>
  <c r="J698" i="1"/>
  <c r="M698" i="1"/>
  <c r="K698" i="1"/>
  <c r="K705" i="1"/>
  <c r="J705" i="1"/>
  <c r="L705" i="1"/>
  <c r="M705" i="1"/>
  <c r="J665" i="1"/>
  <c r="K665" i="1"/>
  <c r="M665" i="1"/>
  <c r="J675" i="1"/>
  <c r="K675" i="1"/>
  <c r="M675" i="1"/>
  <c r="M743" i="1"/>
  <c r="J743" i="1"/>
  <c r="K743" i="1"/>
  <c r="M627" i="1"/>
  <c r="K627" i="1"/>
  <c r="J627" i="1"/>
  <c r="M693" i="1"/>
  <c r="K693" i="1"/>
  <c r="J693" i="1"/>
  <c r="K589" i="1"/>
  <c r="M589" i="1"/>
  <c r="J589" i="1"/>
  <c r="L589" i="1"/>
  <c r="K633" i="1"/>
  <c r="J633" i="1"/>
  <c r="M633" i="1"/>
  <c r="L633" i="1"/>
  <c r="M576" i="1"/>
  <c r="K576" i="1"/>
  <c r="L576" i="1"/>
  <c r="J576" i="1"/>
  <c r="J739" i="1"/>
  <c r="L739" i="1"/>
  <c r="K739" i="1"/>
  <c r="M739" i="1"/>
  <c r="K611" i="1"/>
  <c r="M611" i="1"/>
  <c r="J611" i="1"/>
  <c r="K632" i="1"/>
  <c r="J632" i="1"/>
  <c r="M632" i="1"/>
  <c r="M546" i="1"/>
  <c r="L546" i="1"/>
  <c r="K546" i="1"/>
  <c r="J546" i="1"/>
  <c r="J718" i="1"/>
  <c r="M718" i="1"/>
  <c r="K718" i="1"/>
  <c r="J594" i="1"/>
  <c r="K594" i="1"/>
  <c r="M594" i="1"/>
  <c r="J544" i="1"/>
  <c r="M544" i="1"/>
  <c r="K544" i="1"/>
  <c r="K604" i="1"/>
  <c r="M604" i="1"/>
  <c r="J604" i="1"/>
  <c r="J555" i="1"/>
  <c r="K555" i="1"/>
  <c r="L555" i="1"/>
  <c r="M555" i="1"/>
  <c r="M483" i="1"/>
  <c r="J483" i="1"/>
  <c r="K483" i="1"/>
  <c r="M451" i="1"/>
  <c r="J451" i="1"/>
  <c r="K451" i="1"/>
  <c r="M419" i="1"/>
  <c r="J419" i="1"/>
  <c r="K419" i="1"/>
  <c r="L643" i="1"/>
  <c r="M643" i="1"/>
  <c r="K643" i="1"/>
  <c r="J643" i="1"/>
  <c r="K506" i="1"/>
  <c r="M506" i="1"/>
  <c r="L506" i="1"/>
  <c r="J506" i="1"/>
  <c r="K531" i="1"/>
  <c r="J531" i="1"/>
  <c r="M531" i="1"/>
  <c r="L531" i="1"/>
  <c r="J474" i="1"/>
  <c r="M474" i="1"/>
  <c r="K474" i="1"/>
  <c r="J442" i="1"/>
  <c r="M442" i="1"/>
  <c r="K442" i="1"/>
  <c r="J410" i="1"/>
  <c r="M410" i="1"/>
  <c r="L410" i="1"/>
  <c r="K410" i="1"/>
  <c r="M622" i="1"/>
  <c r="J622" i="1"/>
  <c r="L622" i="1"/>
  <c r="K622" i="1"/>
  <c r="J579" i="1"/>
  <c r="M579" i="1"/>
  <c r="K579" i="1"/>
  <c r="K510" i="1"/>
  <c r="M510" i="1"/>
  <c r="L510" i="1"/>
  <c r="J510" i="1"/>
  <c r="J573" i="1"/>
  <c r="M573" i="1"/>
  <c r="K573" i="1"/>
  <c r="K421" i="1"/>
  <c r="J421" i="1"/>
  <c r="M421" i="1"/>
  <c r="L421" i="1"/>
  <c r="K465" i="1"/>
  <c r="J465" i="1"/>
  <c r="M465" i="1"/>
  <c r="M381" i="1"/>
  <c r="J381" i="1"/>
  <c r="K381" i="1"/>
  <c r="M515" i="1"/>
  <c r="K515" i="1"/>
  <c r="J515" i="1"/>
  <c r="K397" i="1"/>
  <c r="J397" i="1"/>
  <c r="L397" i="1"/>
  <c r="M397" i="1"/>
  <c r="L432" i="1"/>
  <c r="K432" i="1"/>
  <c r="J432" i="1"/>
  <c r="M432" i="1"/>
  <c r="K456" i="1"/>
  <c r="J456" i="1"/>
  <c r="M456" i="1"/>
  <c r="J338" i="1"/>
  <c r="M338" i="1"/>
  <c r="K338" i="1"/>
  <c r="M303" i="1"/>
  <c r="J303" i="1"/>
  <c r="L303" i="1"/>
  <c r="K303" i="1"/>
  <c r="M619" i="1"/>
  <c r="K619" i="1"/>
  <c r="J619" i="1"/>
  <c r="J384" i="1"/>
  <c r="M384" i="1"/>
  <c r="K384" i="1"/>
  <c r="K481" i="1"/>
  <c r="J481" i="1"/>
  <c r="M481" i="1"/>
  <c r="M348" i="1"/>
  <c r="K348" i="1"/>
  <c r="J348" i="1"/>
  <c r="M281" i="1"/>
  <c r="K281" i="1"/>
  <c r="J281" i="1"/>
  <c r="J304" i="1"/>
  <c r="M304" i="1"/>
  <c r="K304" i="1"/>
  <c r="M257" i="1"/>
  <c r="J257" i="1"/>
  <c r="K257" i="1"/>
  <c r="L257" i="1"/>
  <c r="M225" i="1"/>
  <c r="J225" i="1"/>
  <c r="L225" i="1"/>
  <c r="K225" i="1"/>
  <c r="M193" i="1"/>
  <c r="J193" i="1"/>
  <c r="K193" i="1"/>
  <c r="L193" i="1"/>
  <c r="K485" i="1"/>
  <c r="J485" i="1"/>
  <c r="M485" i="1"/>
  <c r="L300" i="1"/>
  <c r="J300" i="1"/>
  <c r="K300" i="1"/>
  <c r="M300" i="1"/>
  <c r="K344" i="1"/>
  <c r="M344" i="1"/>
  <c r="L344" i="1"/>
  <c r="J344" i="1"/>
  <c r="J322" i="1"/>
  <c r="M322" i="1"/>
  <c r="K322" i="1"/>
  <c r="K235" i="1"/>
  <c r="M235" i="1"/>
  <c r="J235" i="1"/>
  <c r="M170" i="1"/>
  <c r="K170" i="1"/>
  <c r="J170" i="1"/>
  <c r="J159" i="1"/>
  <c r="K159" i="1"/>
  <c r="M159" i="1"/>
  <c r="J242" i="1"/>
  <c r="K242" i="1"/>
  <c r="M242" i="1"/>
  <c r="K293" i="1"/>
  <c r="M293" i="1"/>
  <c r="J293" i="1"/>
  <c r="K207" i="1"/>
  <c r="M207" i="1"/>
  <c r="J207" i="1"/>
  <c r="J272" i="1"/>
  <c r="K272" i="1"/>
  <c r="M272" i="1"/>
  <c r="M280" i="1"/>
  <c r="K280" i="1"/>
  <c r="J280" i="1"/>
  <c r="J248" i="1"/>
  <c r="K248" i="1"/>
  <c r="L248" i="1"/>
  <c r="M248" i="1"/>
  <c r="J388" i="1"/>
  <c r="M388" i="1"/>
  <c r="K388" i="1"/>
  <c r="K313" i="1"/>
  <c r="M313" i="1"/>
  <c r="L313" i="1"/>
  <c r="J313" i="1"/>
  <c r="J368" i="1"/>
  <c r="M368" i="1"/>
  <c r="K368" i="1"/>
  <c r="L347" i="1"/>
  <c r="M347" i="1"/>
  <c r="K347" i="1"/>
  <c r="J347" i="1"/>
  <c r="K219" i="1"/>
  <c r="M219" i="1"/>
  <c r="L219" i="1"/>
  <c r="J219" i="1"/>
  <c r="M152" i="1"/>
  <c r="J152" i="1"/>
  <c r="K152" i="1"/>
  <c r="M279" i="1"/>
  <c r="L279" i="1"/>
  <c r="K279" i="1"/>
  <c r="J279" i="1"/>
  <c r="L210" i="1"/>
  <c r="M210" i="1"/>
  <c r="J210" i="1"/>
  <c r="K210" i="1"/>
  <c r="L218" i="1"/>
  <c r="M218" i="1"/>
  <c r="J218" i="1"/>
  <c r="K218" i="1"/>
  <c r="J298" i="1"/>
  <c r="M298" i="1"/>
  <c r="K298" i="1"/>
  <c r="K710" i="1"/>
  <c r="L710" i="1"/>
  <c r="J710" i="1"/>
  <c r="M710" i="1"/>
  <c r="M722" i="1"/>
  <c r="L722" i="1"/>
  <c r="J722" i="1"/>
  <c r="K722" i="1"/>
  <c r="M689" i="1"/>
  <c r="K689" i="1"/>
  <c r="J689" i="1"/>
  <c r="L689" i="1"/>
  <c r="M625" i="1"/>
  <c r="J625" i="1"/>
  <c r="K625" i="1"/>
  <c r="M688" i="1"/>
  <c r="L688" i="1"/>
  <c r="J688" i="1"/>
  <c r="K688" i="1"/>
  <c r="J704" i="1"/>
  <c r="M704" i="1"/>
  <c r="K704" i="1"/>
  <c r="L704" i="1"/>
  <c r="J655" i="1"/>
  <c r="K655" i="1"/>
  <c r="M655" i="1"/>
  <c r="K662" i="1"/>
  <c r="M662" i="1"/>
  <c r="J662" i="1"/>
  <c r="L662" i="1"/>
  <c r="K733" i="1"/>
  <c r="J733" i="1"/>
  <c r="M733" i="1"/>
  <c r="L733" i="1"/>
  <c r="L738" i="1"/>
  <c r="K738" i="1"/>
  <c r="J738" i="1"/>
  <c r="M738" i="1"/>
  <c r="K685" i="1"/>
  <c r="J685" i="1"/>
  <c r="L685" i="1"/>
  <c r="M685" i="1"/>
  <c r="K753" i="1"/>
  <c r="J753" i="1"/>
  <c r="M753" i="1"/>
  <c r="K609" i="1"/>
  <c r="J609" i="1"/>
  <c r="L609" i="1"/>
  <c r="M609" i="1"/>
  <c r="M572" i="1"/>
  <c r="J572" i="1"/>
  <c r="K572" i="1"/>
  <c r="M719" i="1"/>
  <c r="L719" i="1"/>
  <c r="J719" i="1"/>
  <c r="K719" i="1"/>
  <c r="K607" i="1"/>
  <c r="M607" i="1"/>
  <c r="L607" i="1"/>
  <c r="J607" i="1"/>
  <c r="M620" i="1"/>
  <c r="K620" i="1"/>
  <c r="J620" i="1"/>
  <c r="M535" i="1"/>
  <c r="K535" i="1"/>
  <c r="J535" i="1"/>
  <c r="K684" i="1"/>
  <c r="J684" i="1"/>
  <c r="M684" i="1"/>
  <c r="L684" i="1"/>
  <c r="M587" i="1"/>
  <c r="J587" i="1"/>
  <c r="K587" i="1"/>
  <c r="M534" i="1"/>
  <c r="J534" i="1"/>
  <c r="K534" i="1"/>
  <c r="J596" i="1"/>
  <c r="M596" i="1"/>
  <c r="K596" i="1"/>
  <c r="K529" i="1"/>
  <c r="M529" i="1"/>
  <c r="J529" i="1"/>
  <c r="M479" i="1"/>
  <c r="L479" i="1"/>
  <c r="K479" i="1"/>
  <c r="J479" i="1"/>
  <c r="M447" i="1"/>
  <c r="J447" i="1"/>
  <c r="K447" i="1"/>
  <c r="M415" i="1"/>
  <c r="J415" i="1"/>
  <c r="K415" i="1"/>
  <c r="J623" i="1"/>
  <c r="M623" i="1"/>
  <c r="L623" i="1"/>
  <c r="K623" i="1"/>
  <c r="J686" i="1"/>
  <c r="K686" i="1"/>
  <c r="M686" i="1"/>
  <c r="L686" i="1"/>
  <c r="K519" i="1"/>
  <c r="J519" i="1"/>
  <c r="M519" i="1"/>
  <c r="J470" i="1"/>
  <c r="M470" i="1"/>
  <c r="K470" i="1"/>
  <c r="L470" i="1"/>
  <c r="J438" i="1"/>
  <c r="M438" i="1"/>
  <c r="L438" i="1"/>
  <c r="K438" i="1"/>
  <c r="J406" i="1"/>
  <c r="M406" i="1"/>
  <c r="K406" i="1"/>
  <c r="L406" i="1"/>
  <c r="L585" i="1"/>
  <c r="M585" i="1"/>
  <c r="J585" i="1"/>
  <c r="K585" i="1"/>
  <c r="K574" i="1"/>
  <c r="J574" i="1"/>
  <c r="M574" i="1"/>
  <c r="L496" i="1"/>
  <c r="K496" i="1"/>
  <c r="M496" i="1"/>
  <c r="J496" i="1"/>
  <c r="K566" i="1"/>
  <c r="M566" i="1"/>
  <c r="J566" i="1"/>
  <c r="L566" i="1"/>
  <c r="L420" i="1"/>
  <c r="K420" i="1"/>
  <c r="M420" i="1"/>
  <c r="J420" i="1"/>
  <c r="K464" i="1"/>
  <c r="M464" i="1"/>
  <c r="J464" i="1"/>
  <c r="M377" i="1"/>
  <c r="K377" i="1"/>
  <c r="J377" i="1"/>
  <c r="K501" i="1"/>
  <c r="J501" i="1"/>
  <c r="M501" i="1"/>
  <c r="K737" i="1"/>
  <c r="L737" i="1"/>
  <c r="M737" i="1"/>
  <c r="J737" i="1"/>
  <c r="L416" i="1"/>
  <c r="K416" i="1"/>
  <c r="M416" i="1"/>
  <c r="J416" i="1"/>
  <c r="J376" i="1"/>
  <c r="K376" i="1"/>
  <c r="L376" i="1"/>
  <c r="M376" i="1"/>
  <c r="M331" i="1"/>
  <c r="K331" i="1"/>
  <c r="J331" i="1"/>
  <c r="M299" i="1"/>
  <c r="J299" i="1"/>
  <c r="L299" i="1"/>
  <c r="K299" i="1"/>
  <c r="J630" i="1"/>
  <c r="L630" i="1"/>
  <c r="K630" i="1"/>
  <c r="M630" i="1"/>
  <c r="K379" i="1"/>
  <c r="M379" i="1"/>
  <c r="L379" i="1"/>
  <c r="J379" i="1"/>
  <c r="L472" i="1"/>
  <c r="K472" i="1"/>
  <c r="J472" i="1"/>
  <c r="M472" i="1"/>
  <c r="K343" i="1"/>
  <c r="J343" i="1"/>
  <c r="M343" i="1"/>
  <c r="L343" i="1"/>
  <c r="K409" i="1"/>
  <c r="J409" i="1"/>
  <c r="M409" i="1"/>
  <c r="K289" i="1"/>
  <c r="L289" i="1"/>
  <c r="J289" i="1"/>
  <c r="M289" i="1"/>
  <c r="M253" i="1"/>
  <c r="L253" i="1"/>
  <c r="K253" i="1"/>
  <c r="J253" i="1"/>
  <c r="M221" i="1"/>
  <c r="J221" i="1"/>
  <c r="L221" i="1"/>
  <c r="K221" i="1"/>
  <c r="M189" i="1"/>
  <c r="L189" i="1"/>
  <c r="K189" i="1"/>
  <c r="J189" i="1"/>
  <c r="L468" i="1"/>
  <c r="K468" i="1"/>
  <c r="M468" i="1"/>
  <c r="J468" i="1"/>
  <c r="J290" i="1"/>
  <c r="K290" i="1"/>
  <c r="M290" i="1"/>
  <c r="J336" i="1"/>
  <c r="K336" i="1"/>
  <c r="M336" i="1"/>
  <c r="J318" i="1"/>
  <c r="M318" i="1"/>
  <c r="L318" i="1"/>
  <c r="K318" i="1"/>
  <c r="M234" i="1"/>
  <c r="K234" i="1"/>
  <c r="J234" i="1"/>
  <c r="M156" i="1"/>
  <c r="K156" i="1"/>
  <c r="J156" i="1"/>
  <c r="L156" i="1"/>
  <c r="M246" i="1"/>
  <c r="J246" i="1"/>
  <c r="K246" i="1"/>
  <c r="K199" i="1"/>
  <c r="M199" i="1"/>
  <c r="J199" i="1"/>
  <c r="K271" i="1"/>
  <c r="M271" i="1"/>
  <c r="J271" i="1"/>
  <c r="M206" i="1"/>
  <c r="K206" i="1"/>
  <c r="J206" i="1"/>
  <c r="J252" i="1"/>
  <c r="K252" i="1"/>
  <c r="M252" i="1"/>
  <c r="K267" i="1"/>
  <c r="L267" i="1"/>
  <c r="J267" i="1"/>
  <c r="M267" i="1"/>
  <c r="J184" i="1"/>
  <c r="K184" i="1"/>
  <c r="M184" i="1"/>
  <c r="M308" i="1"/>
  <c r="K308" i="1"/>
  <c r="J308" i="1"/>
  <c r="J302" i="1"/>
  <c r="M302" i="1"/>
  <c r="L302" i="1"/>
  <c r="K302" i="1"/>
  <c r="J286" i="1"/>
  <c r="L286" i="1"/>
  <c r="K286" i="1"/>
  <c r="M286" i="1"/>
  <c r="K333" i="1"/>
  <c r="M333" i="1"/>
  <c r="L333" i="1"/>
  <c r="J333" i="1"/>
  <c r="L214" i="1"/>
  <c r="K214" i="1"/>
  <c r="J214" i="1"/>
  <c r="M214" i="1"/>
  <c r="M151" i="1"/>
  <c r="K151" i="1"/>
  <c r="J151" i="1"/>
  <c r="K275" i="1"/>
  <c r="M275" i="1"/>
  <c r="J275" i="1"/>
  <c r="K195" i="1"/>
  <c r="L195" i="1"/>
  <c r="M195" i="1"/>
  <c r="J195" i="1"/>
  <c r="J180" i="1"/>
  <c r="M180" i="1"/>
  <c r="K180" i="1"/>
  <c r="J146" i="1"/>
  <c r="K146" i="1"/>
  <c r="M146" i="1"/>
  <c r="L146" i="1"/>
  <c r="J142" i="1"/>
  <c r="L142" i="1"/>
  <c r="K142" i="1"/>
  <c r="M142" i="1"/>
  <c r="J138" i="1"/>
  <c r="K138" i="1"/>
  <c r="L138" i="1"/>
  <c r="M138" i="1"/>
  <c r="J134" i="1"/>
  <c r="K134" i="1"/>
  <c r="M134" i="1"/>
  <c r="J130" i="1"/>
  <c r="K130" i="1"/>
  <c r="M130" i="1"/>
  <c r="J126" i="1"/>
  <c r="M126" i="1"/>
  <c r="K126" i="1"/>
  <c r="J122" i="1"/>
  <c r="K122" i="1"/>
  <c r="M122" i="1"/>
  <c r="L122" i="1"/>
  <c r="J118" i="1"/>
  <c r="M118" i="1"/>
  <c r="L118" i="1"/>
  <c r="K118" i="1"/>
  <c r="J114" i="1"/>
  <c r="K114" i="1"/>
  <c r="M114" i="1"/>
  <c r="J110" i="1"/>
  <c r="M110" i="1"/>
  <c r="K110" i="1"/>
  <c r="L110" i="1"/>
  <c r="J106" i="1"/>
  <c r="K106" i="1"/>
  <c r="M106" i="1"/>
  <c r="J102" i="1"/>
  <c r="M102" i="1"/>
  <c r="K102" i="1"/>
  <c r="J98" i="1"/>
  <c r="K98" i="1"/>
  <c r="L98" i="1"/>
  <c r="M98" i="1"/>
  <c r="J94" i="1"/>
  <c r="M94" i="1"/>
  <c r="K94" i="1"/>
  <c r="J90" i="1"/>
  <c r="K90" i="1"/>
  <c r="L90" i="1"/>
  <c r="M90" i="1"/>
  <c r="J86" i="1"/>
  <c r="M86" i="1"/>
  <c r="L86" i="1"/>
  <c r="K86" i="1"/>
  <c r="J82" i="1"/>
  <c r="K82" i="1"/>
  <c r="M82" i="1"/>
  <c r="J78" i="1"/>
  <c r="M78" i="1"/>
  <c r="K78" i="1"/>
  <c r="J74" i="1"/>
  <c r="K74" i="1"/>
  <c r="M74" i="1"/>
  <c r="J70" i="1"/>
  <c r="M70" i="1"/>
  <c r="L70" i="1"/>
  <c r="K70" i="1"/>
  <c r="J66" i="1"/>
  <c r="K66" i="1"/>
  <c r="L66" i="1"/>
  <c r="M66" i="1"/>
  <c r="J62" i="1"/>
  <c r="K62" i="1"/>
  <c r="M62" i="1"/>
  <c r="J58" i="1"/>
  <c r="K58" i="1"/>
  <c r="L58" i="1"/>
  <c r="M58" i="1"/>
  <c r="J54" i="1"/>
  <c r="K54" i="1"/>
  <c r="M54" i="1"/>
  <c r="J50" i="1"/>
  <c r="K50" i="1"/>
  <c r="M50" i="1"/>
  <c r="J46" i="1"/>
  <c r="K46" i="1"/>
  <c r="M46" i="1"/>
  <c r="J42" i="1"/>
  <c r="M42" i="1"/>
  <c r="K42" i="1"/>
  <c r="J38" i="1"/>
  <c r="M38" i="1"/>
  <c r="L38" i="1"/>
  <c r="K38" i="1"/>
  <c r="J34" i="1"/>
  <c r="M34" i="1"/>
  <c r="K34" i="1"/>
  <c r="L34" i="1"/>
  <c r="J30" i="1"/>
  <c r="M30" i="1"/>
  <c r="L30" i="1"/>
  <c r="K30" i="1"/>
  <c r="J26" i="1"/>
  <c r="M26" i="1"/>
  <c r="K26" i="1"/>
  <c r="L26" i="1"/>
  <c r="J22" i="1"/>
  <c r="K22" i="1"/>
  <c r="M22" i="1"/>
  <c r="J18" i="1"/>
  <c r="M18" i="1"/>
  <c r="K18" i="1"/>
  <c r="L18" i="1"/>
  <c r="J14" i="1"/>
  <c r="L14" i="1"/>
  <c r="K14" i="1"/>
  <c r="M14" i="1"/>
  <c r="J10" i="1"/>
  <c r="M10" i="1"/>
  <c r="K10" i="1"/>
  <c r="L10" i="1"/>
  <c r="J6" i="1"/>
  <c r="L6" i="1"/>
  <c r="M6" i="1"/>
  <c r="J145" i="1"/>
  <c r="M145" i="1"/>
  <c r="L145" i="1"/>
  <c r="K145" i="1"/>
  <c r="J141" i="1"/>
  <c r="M141" i="1"/>
  <c r="L141" i="1"/>
  <c r="K141" i="1"/>
  <c r="J137" i="1"/>
  <c r="M137" i="1"/>
  <c r="K137" i="1"/>
  <c r="L137" i="1"/>
  <c r="J133" i="1"/>
  <c r="M133" i="1"/>
  <c r="K133" i="1"/>
  <c r="J129" i="1"/>
  <c r="K129" i="1"/>
  <c r="M129" i="1"/>
  <c r="J125" i="1"/>
  <c r="M125" i="1"/>
  <c r="K125" i="1"/>
  <c r="J121" i="1"/>
  <c r="K121" i="1"/>
  <c r="L121" i="1"/>
  <c r="M121" i="1"/>
  <c r="J117" i="1"/>
  <c r="M117" i="1"/>
  <c r="L117" i="1"/>
  <c r="K117" i="1"/>
  <c r="J113" i="1"/>
  <c r="K113" i="1"/>
  <c r="M113" i="1"/>
  <c r="J109" i="1"/>
  <c r="M109" i="1"/>
  <c r="L109" i="1"/>
  <c r="K109" i="1"/>
  <c r="J105" i="1"/>
  <c r="K105" i="1"/>
  <c r="M105" i="1"/>
  <c r="J101" i="1"/>
  <c r="M101" i="1"/>
  <c r="L101" i="1"/>
  <c r="K101" i="1"/>
  <c r="J97" i="1"/>
  <c r="K97" i="1"/>
  <c r="L97" i="1"/>
  <c r="M97" i="1"/>
  <c r="J93" i="1"/>
  <c r="M93" i="1"/>
  <c r="K93" i="1"/>
  <c r="J89" i="1"/>
  <c r="K89" i="1"/>
  <c r="L89" i="1"/>
  <c r="M89" i="1"/>
  <c r="J85" i="1"/>
  <c r="M85" i="1"/>
  <c r="L85" i="1"/>
  <c r="K85" i="1"/>
  <c r="J81" i="1"/>
  <c r="K81" i="1"/>
  <c r="L81" i="1"/>
  <c r="M81" i="1"/>
  <c r="J77" i="1"/>
  <c r="M77" i="1"/>
  <c r="L77" i="1"/>
  <c r="K77" i="1"/>
  <c r="J73" i="1"/>
  <c r="K73" i="1"/>
  <c r="M73" i="1"/>
  <c r="J69" i="1"/>
  <c r="M69" i="1"/>
  <c r="L69" i="1"/>
  <c r="K69" i="1"/>
  <c r="J65" i="1"/>
  <c r="K65" i="1"/>
  <c r="M65" i="1"/>
  <c r="L65" i="1"/>
  <c r="J61" i="1"/>
  <c r="K61" i="1"/>
  <c r="M61" i="1"/>
  <c r="L61" i="1"/>
  <c r="J57" i="1"/>
  <c r="K57" i="1"/>
  <c r="M57" i="1"/>
  <c r="J53" i="1"/>
  <c r="K53" i="1"/>
  <c r="M53" i="1"/>
  <c r="L53" i="1"/>
  <c r="J49" i="1"/>
  <c r="K49" i="1"/>
  <c r="M49" i="1"/>
  <c r="L49" i="1"/>
  <c r="J45" i="1"/>
  <c r="M45" i="1"/>
  <c r="K45" i="1"/>
  <c r="J41" i="1"/>
  <c r="M41" i="1"/>
  <c r="K41" i="1"/>
  <c r="J37" i="1"/>
  <c r="M37" i="1"/>
  <c r="K37" i="1"/>
  <c r="J33" i="1"/>
  <c r="M33" i="1"/>
  <c r="K33" i="1"/>
  <c r="L33" i="1"/>
  <c r="J25" i="1"/>
  <c r="M25" i="1"/>
  <c r="L25" i="1"/>
  <c r="K25" i="1"/>
  <c r="J21" i="1"/>
  <c r="L21" i="1"/>
  <c r="K21" i="1"/>
  <c r="M21" i="1"/>
  <c r="J17" i="1"/>
  <c r="M17" i="1"/>
  <c r="K17" i="1"/>
  <c r="J13" i="1"/>
  <c r="K13" i="1"/>
  <c r="M13" i="1"/>
  <c r="J9" i="1"/>
  <c r="M9" i="1"/>
  <c r="L9" i="1"/>
  <c r="K9" i="1"/>
  <c r="J150" i="1"/>
  <c r="M150" i="1"/>
  <c r="K150" i="1"/>
  <c r="J149" i="1"/>
  <c r="K149" i="1"/>
  <c r="M149" i="1"/>
  <c r="L149" i="1"/>
  <c r="J147" i="1"/>
  <c r="K147" i="1"/>
  <c r="M147" i="1"/>
  <c r="J148" i="1"/>
  <c r="M148" i="1"/>
  <c r="K148" i="1"/>
  <c r="J28" i="1"/>
  <c r="L28" i="1"/>
  <c r="K28" i="1"/>
  <c r="M28" i="1"/>
  <c r="J20" i="1"/>
  <c r="K20" i="1"/>
  <c r="L20" i="1"/>
  <c r="M20" i="1"/>
  <c r="J12" i="1"/>
  <c r="K12" i="1"/>
  <c r="L12" i="1"/>
  <c r="M12" i="1"/>
  <c r="J59" i="1"/>
  <c r="K59" i="1"/>
  <c r="M59" i="1"/>
  <c r="J35" i="1"/>
  <c r="K35" i="1"/>
  <c r="M35" i="1"/>
  <c r="J144" i="1"/>
  <c r="K144" i="1"/>
  <c r="L144" i="1"/>
  <c r="M144" i="1"/>
  <c r="J112" i="1"/>
  <c r="K112" i="1"/>
  <c r="M112" i="1"/>
  <c r="J72" i="1"/>
  <c r="L72" i="1"/>
  <c r="K72" i="1"/>
  <c r="M72" i="1"/>
  <c r="J48" i="1"/>
  <c r="K48" i="1"/>
  <c r="M48" i="1"/>
  <c r="L48" i="1"/>
  <c r="J8" i="1"/>
  <c r="M8" i="1"/>
  <c r="L8" i="1"/>
  <c r="K8" i="1"/>
  <c r="J127" i="1"/>
  <c r="M127" i="1"/>
  <c r="K127" i="1"/>
  <c r="J103" i="1"/>
  <c r="M103" i="1"/>
  <c r="K103" i="1"/>
  <c r="J79" i="1"/>
  <c r="M79" i="1"/>
  <c r="L79" i="1"/>
  <c r="K79" i="1"/>
  <c r="J55" i="1"/>
  <c r="K55" i="1"/>
  <c r="L55" i="1"/>
  <c r="M55" i="1"/>
  <c r="J31" i="1"/>
  <c r="L31" i="1"/>
  <c r="K31" i="1"/>
  <c r="M31" i="1"/>
  <c r="J29" i="1"/>
  <c r="M29" i="1"/>
  <c r="K29" i="1"/>
  <c r="L29" i="1"/>
  <c r="J139" i="1"/>
  <c r="L139" i="1"/>
  <c r="K139" i="1"/>
  <c r="M139" i="1"/>
  <c r="J131" i="1"/>
  <c r="K131" i="1"/>
  <c r="M131" i="1"/>
  <c r="J123" i="1"/>
  <c r="L123" i="1"/>
  <c r="K123" i="1"/>
  <c r="M123" i="1"/>
  <c r="J115" i="1"/>
  <c r="L115" i="1"/>
  <c r="K115" i="1"/>
  <c r="M115" i="1"/>
  <c r="J107" i="1"/>
  <c r="L107" i="1"/>
  <c r="K107" i="1"/>
  <c r="M107" i="1"/>
  <c r="J99" i="1"/>
  <c r="L99" i="1"/>
  <c r="K99" i="1"/>
  <c r="M99" i="1"/>
  <c r="J91" i="1"/>
  <c r="L91" i="1"/>
  <c r="K91" i="1"/>
  <c r="M91" i="1"/>
  <c r="J83" i="1"/>
  <c r="K83" i="1"/>
  <c r="M83" i="1"/>
  <c r="J75" i="1"/>
  <c r="K75" i="1"/>
  <c r="M75" i="1"/>
  <c r="J67" i="1"/>
  <c r="K67" i="1"/>
  <c r="M67" i="1"/>
  <c r="J51" i="1"/>
  <c r="K51" i="1"/>
  <c r="M51" i="1"/>
  <c r="J43" i="1"/>
  <c r="M43" i="1"/>
  <c r="K43" i="1"/>
  <c r="J128" i="1"/>
  <c r="M128" i="1"/>
  <c r="K128" i="1"/>
  <c r="J120" i="1"/>
  <c r="K120" i="1"/>
  <c r="L120" i="1"/>
  <c r="M120" i="1"/>
  <c r="J96" i="1"/>
  <c r="M96" i="1"/>
  <c r="K96" i="1"/>
  <c r="J80" i="1"/>
  <c r="K80" i="1"/>
  <c r="M80" i="1"/>
  <c r="L80" i="1"/>
  <c r="J56" i="1"/>
  <c r="K56" i="1"/>
  <c r="L56" i="1"/>
  <c r="M56" i="1"/>
  <c r="J32" i="1"/>
  <c r="L32" i="1"/>
  <c r="K32" i="1"/>
  <c r="M32" i="1"/>
  <c r="J16" i="1"/>
  <c r="M16" i="1"/>
  <c r="K16" i="1"/>
  <c r="J135" i="1"/>
  <c r="L135" i="1"/>
  <c r="K135" i="1"/>
  <c r="M135" i="1"/>
  <c r="J119" i="1"/>
  <c r="M119" i="1"/>
  <c r="K119" i="1"/>
  <c r="L119" i="1"/>
  <c r="J95" i="1"/>
  <c r="M95" i="1"/>
  <c r="K95" i="1"/>
  <c r="J71" i="1"/>
  <c r="M71" i="1"/>
  <c r="K71" i="1"/>
  <c r="L71" i="1"/>
  <c r="J47" i="1"/>
  <c r="K47" i="1"/>
  <c r="L47" i="1"/>
  <c r="M47" i="1"/>
  <c r="J7" i="1"/>
  <c r="M7" i="1"/>
  <c r="L7" i="1"/>
  <c r="J27" i="1"/>
  <c r="L27" i="1"/>
  <c r="K27" i="1"/>
  <c r="M27" i="1"/>
  <c r="J19" i="1"/>
  <c r="K19" i="1"/>
  <c r="M19" i="1"/>
  <c r="J11" i="1"/>
  <c r="M11" i="1"/>
  <c r="K11" i="1"/>
  <c r="J136" i="1"/>
  <c r="M136" i="1"/>
  <c r="K136" i="1"/>
  <c r="J104" i="1"/>
  <c r="M104" i="1"/>
  <c r="K104" i="1"/>
  <c r="J88" i="1"/>
  <c r="K88" i="1"/>
  <c r="M88" i="1"/>
  <c r="J64" i="1"/>
  <c r="K64" i="1"/>
  <c r="M64" i="1"/>
  <c r="J40" i="1"/>
  <c r="K40" i="1"/>
  <c r="M40" i="1"/>
  <c r="J24" i="1"/>
  <c r="L24" i="1"/>
  <c r="M24" i="1"/>
  <c r="K24" i="1"/>
  <c r="J143" i="1"/>
  <c r="M143" i="1"/>
  <c r="K143" i="1"/>
  <c r="L143" i="1"/>
  <c r="J111" i="1"/>
  <c r="M111" i="1"/>
  <c r="K111" i="1"/>
  <c r="L111" i="1"/>
  <c r="J87" i="1"/>
  <c r="M87" i="1"/>
  <c r="K87" i="1"/>
  <c r="J63" i="1"/>
  <c r="K63" i="1"/>
  <c r="L63" i="1"/>
  <c r="M63" i="1"/>
  <c r="J39" i="1"/>
  <c r="M39" i="1"/>
  <c r="K39" i="1"/>
  <c r="J15" i="1"/>
  <c r="M15" i="1"/>
  <c r="L15" i="1"/>
  <c r="K15" i="1"/>
  <c r="J140" i="1"/>
  <c r="M140" i="1"/>
  <c r="L140" i="1"/>
  <c r="K140" i="1"/>
  <c r="J132" i="1"/>
  <c r="M132" i="1"/>
  <c r="K132" i="1"/>
  <c r="J124" i="1"/>
  <c r="L124" i="1"/>
  <c r="K124" i="1"/>
  <c r="M124" i="1"/>
  <c r="J116" i="1"/>
  <c r="L116" i="1"/>
  <c r="M116" i="1"/>
  <c r="K116" i="1"/>
  <c r="J108" i="1"/>
  <c r="M108" i="1"/>
  <c r="K108" i="1"/>
  <c r="J100" i="1"/>
  <c r="L100" i="1"/>
  <c r="M100" i="1"/>
  <c r="K100" i="1"/>
  <c r="J92" i="1"/>
  <c r="L92" i="1"/>
  <c r="M92" i="1"/>
  <c r="K92" i="1"/>
  <c r="J84" i="1"/>
  <c r="M84" i="1"/>
  <c r="K84" i="1"/>
  <c r="J76" i="1"/>
  <c r="M76" i="1"/>
  <c r="K76" i="1"/>
  <c r="J68" i="1"/>
  <c r="M68" i="1"/>
  <c r="K68" i="1"/>
  <c r="J60" i="1"/>
  <c r="K60" i="1"/>
  <c r="M60" i="1"/>
  <c r="J52" i="1"/>
  <c r="K52" i="1"/>
  <c r="M52" i="1"/>
  <c r="J44" i="1"/>
  <c r="K44" i="1"/>
  <c r="M44" i="1"/>
  <c r="J36" i="1"/>
  <c r="K36" i="1"/>
  <c r="M36" i="1"/>
  <c r="J23" i="1"/>
  <c r="M23" i="1"/>
  <c r="K23" i="1"/>
  <c r="L5" i="1"/>
  <c r="L4" i="1"/>
  <c r="AN11" i="1"/>
  <c r="AM7" i="1"/>
  <c r="AM6" i="1"/>
  <c r="AO5" i="1"/>
  <c r="AM5" i="1"/>
  <c r="AL5" i="1"/>
  <c r="AO4" i="1"/>
  <c r="AM4" i="1"/>
  <c r="AL4" i="1"/>
  <c r="AD84" i="1"/>
  <c r="AJ84" i="1" s="1"/>
  <c r="AC84" i="1"/>
  <c r="AI84" i="1" s="1"/>
  <c r="AO84" i="1" s="1"/>
  <c r="AB84" i="1"/>
  <c r="AH84" i="1" s="1"/>
  <c r="AN84" i="1" s="1"/>
  <c r="AG84" i="1"/>
  <c r="AM84" i="1" s="1"/>
  <c r="AF84" i="1"/>
  <c r="AL84" i="1" s="1"/>
  <c r="AE84" i="1"/>
  <c r="AK84" i="1" s="1"/>
  <c r="AD83" i="1"/>
  <c r="AJ83" i="1" s="1"/>
  <c r="AC83" i="1"/>
  <c r="AI83" i="1" s="1"/>
  <c r="AO83" i="1" s="1"/>
  <c r="AB83" i="1"/>
  <c r="AH83" i="1" s="1"/>
  <c r="AN83" i="1" s="1"/>
  <c r="AG83" i="1"/>
  <c r="AM83" i="1" s="1"/>
  <c r="AF83" i="1"/>
  <c r="AL83" i="1" s="1"/>
  <c r="AE83" i="1"/>
  <c r="AK83" i="1" s="1"/>
  <c r="AD82" i="1"/>
  <c r="AJ82" i="1" s="1"/>
  <c r="AC82" i="1"/>
  <c r="AI82" i="1" s="1"/>
  <c r="AO82" i="1" s="1"/>
  <c r="AB82" i="1"/>
  <c r="AH82" i="1" s="1"/>
  <c r="AN82" i="1" s="1"/>
  <c r="AG82" i="1"/>
  <c r="AM82" i="1" s="1"/>
  <c r="AF82" i="1"/>
  <c r="AL82" i="1" s="1"/>
  <c r="AE82" i="1"/>
  <c r="AK82" i="1" s="1"/>
  <c r="AD81" i="1"/>
  <c r="AJ81" i="1" s="1"/>
  <c r="AC81" i="1"/>
  <c r="AI81" i="1" s="1"/>
  <c r="AO81" i="1" s="1"/>
  <c r="AB81" i="1"/>
  <c r="AH81" i="1" s="1"/>
  <c r="AN81" i="1" s="1"/>
  <c r="AG81" i="1"/>
  <c r="AM81" i="1" s="1"/>
  <c r="AF81" i="1"/>
  <c r="AL81" i="1" s="1"/>
  <c r="AE81" i="1"/>
  <c r="AK81" i="1" s="1"/>
  <c r="AD80" i="1"/>
  <c r="AJ80" i="1" s="1"/>
  <c r="AC80" i="1"/>
  <c r="AI80" i="1" s="1"/>
  <c r="AO80" i="1" s="1"/>
  <c r="AB80" i="1"/>
  <c r="AH80" i="1" s="1"/>
  <c r="AN80" i="1" s="1"/>
  <c r="AG80" i="1"/>
  <c r="AM80" i="1" s="1"/>
  <c r="AF80" i="1"/>
  <c r="AL80" i="1" s="1"/>
  <c r="AE80" i="1"/>
  <c r="AK80" i="1" s="1"/>
  <c r="AD79" i="1"/>
  <c r="AJ79" i="1" s="1"/>
  <c r="AC79" i="1"/>
  <c r="AI79" i="1" s="1"/>
  <c r="AO79" i="1" s="1"/>
  <c r="AB79" i="1"/>
  <c r="AH79" i="1" s="1"/>
  <c r="AN79" i="1" s="1"/>
  <c r="AG79" i="1"/>
  <c r="AM79" i="1" s="1"/>
  <c r="AF79" i="1"/>
  <c r="AL79" i="1" s="1"/>
  <c r="AE79" i="1"/>
  <c r="AK79" i="1" s="1"/>
  <c r="AD78" i="1"/>
  <c r="AJ78" i="1" s="1"/>
  <c r="AC78" i="1"/>
  <c r="AI78" i="1" s="1"/>
  <c r="AO78" i="1" s="1"/>
  <c r="AB78" i="1"/>
  <c r="AH78" i="1" s="1"/>
  <c r="AN78" i="1" s="1"/>
  <c r="AG78" i="1"/>
  <c r="AM78" i="1" s="1"/>
  <c r="AF78" i="1"/>
  <c r="AL78" i="1" s="1"/>
  <c r="AE78" i="1"/>
  <c r="AK78" i="1" s="1"/>
  <c r="AD77" i="1"/>
  <c r="AJ77" i="1" s="1"/>
  <c r="AC77" i="1"/>
  <c r="AI77" i="1" s="1"/>
  <c r="AO77" i="1" s="1"/>
  <c r="AB77" i="1"/>
  <c r="AH77" i="1" s="1"/>
  <c r="AN77" i="1" s="1"/>
  <c r="AG77" i="1"/>
  <c r="AM77" i="1" s="1"/>
  <c r="AF77" i="1"/>
  <c r="AL77" i="1" s="1"/>
  <c r="AE77" i="1"/>
  <c r="AK77" i="1" s="1"/>
  <c r="AD76" i="1"/>
  <c r="AJ76" i="1" s="1"/>
  <c r="AC76" i="1"/>
  <c r="AI76" i="1" s="1"/>
  <c r="AO76" i="1" s="1"/>
  <c r="AB76" i="1"/>
  <c r="AH76" i="1" s="1"/>
  <c r="AN76" i="1" s="1"/>
  <c r="AG76" i="1"/>
  <c r="AM76" i="1" s="1"/>
  <c r="AF76" i="1"/>
  <c r="AL76" i="1" s="1"/>
  <c r="AE76" i="1"/>
  <c r="AK76" i="1" s="1"/>
  <c r="AD75" i="1"/>
  <c r="AJ75" i="1" s="1"/>
  <c r="AC75" i="1"/>
  <c r="AI75" i="1" s="1"/>
  <c r="AO75" i="1" s="1"/>
  <c r="AB75" i="1"/>
  <c r="AH75" i="1" s="1"/>
  <c r="AN75" i="1" s="1"/>
  <c r="AG75" i="1"/>
  <c r="AM75" i="1" s="1"/>
  <c r="AF75" i="1"/>
  <c r="AL75" i="1" s="1"/>
  <c r="AE75" i="1"/>
  <c r="AK75" i="1" s="1"/>
  <c r="AD74" i="1"/>
  <c r="AJ74" i="1" s="1"/>
  <c r="AC74" i="1"/>
  <c r="AI74" i="1" s="1"/>
  <c r="AO74" i="1" s="1"/>
  <c r="AB74" i="1"/>
  <c r="AH74" i="1" s="1"/>
  <c r="AN74" i="1" s="1"/>
  <c r="AG74" i="1"/>
  <c r="AM74" i="1" s="1"/>
  <c r="AF74" i="1"/>
  <c r="AL74" i="1" s="1"/>
  <c r="AE74" i="1"/>
  <c r="AK74" i="1" s="1"/>
  <c r="AD73" i="1"/>
  <c r="AJ73" i="1" s="1"/>
  <c r="AC73" i="1"/>
  <c r="AI73" i="1" s="1"/>
  <c r="AO73" i="1" s="1"/>
  <c r="AB73" i="1"/>
  <c r="AH73" i="1" s="1"/>
  <c r="AN73" i="1" s="1"/>
  <c r="AG73" i="1"/>
  <c r="AM73" i="1" s="1"/>
  <c r="AF73" i="1"/>
  <c r="AL73" i="1" s="1"/>
  <c r="AE73" i="1"/>
  <c r="AK73" i="1" s="1"/>
  <c r="AD72" i="1"/>
  <c r="AJ72" i="1" s="1"/>
  <c r="AC72" i="1"/>
  <c r="AI72" i="1" s="1"/>
  <c r="AO72" i="1" s="1"/>
  <c r="AB72" i="1"/>
  <c r="AH72" i="1" s="1"/>
  <c r="AN72" i="1" s="1"/>
  <c r="AG72" i="1"/>
  <c r="AM72" i="1" s="1"/>
  <c r="AF72" i="1"/>
  <c r="AL72" i="1" s="1"/>
  <c r="AE72" i="1"/>
  <c r="AK72" i="1" s="1"/>
  <c r="AD71" i="1"/>
  <c r="AJ71" i="1" s="1"/>
  <c r="AC71" i="1"/>
  <c r="AI71" i="1" s="1"/>
  <c r="AO71" i="1" s="1"/>
  <c r="AB71" i="1"/>
  <c r="AH71" i="1" s="1"/>
  <c r="AN71" i="1" s="1"/>
  <c r="AG71" i="1"/>
  <c r="AM71" i="1" s="1"/>
  <c r="AF71" i="1"/>
  <c r="AL71" i="1" s="1"/>
  <c r="AE71" i="1"/>
  <c r="AK71" i="1" s="1"/>
  <c r="AG70" i="1"/>
  <c r="AM70" i="1" s="1"/>
  <c r="AD70" i="1"/>
  <c r="AJ70" i="1" s="1"/>
  <c r="AC70" i="1"/>
  <c r="AI70" i="1" s="1"/>
  <c r="AO70" i="1" s="1"/>
  <c r="AB70" i="1"/>
  <c r="AH70" i="1" s="1"/>
  <c r="AN70" i="1" s="1"/>
  <c r="AF70" i="1"/>
  <c r="AL70" i="1" s="1"/>
  <c r="AE70" i="1"/>
  <c r="AK70" i="1" s="1"/>
  <c r="AD69" i="1"/>
  <c r="AJ69" i="1" s="1"/>
  <c r="AC69" i="1"/>
  <c r="AI69" i="1" s="1"/>
  <c r="AO69" i="1" s="1"/>
  <c r="AB69" i="1"/>
  <c r="AH69" i="1" s="1"/>
  <c r="AN69" i="1" s="1"/>
  <c r="AG69" i="1"/>
  <c r="AM69" i="1" s="1"/>
  <c r="AF69" i="1"/>
  <c r="AL69" i="1" s="1"/>
  <c r="AE69" i="1"/>
  <c r="AK69" i="1" s="1"/>
  <c r="AD68" i="1"/>
  <c r="AJ68" i="1" s="1"/>
  <c r="AC68" i="1"/>
  <c r="AI68" i="1" s="1"/>
  <c r="AO68" i="1" s="1"/>
  <c r="AB68" i="1"/>
  <c r="AH68" i="1" s="1"/>
  <c r="AN68" i="1" s="1"/>
  <c r="AG68" i="1"/>
  <c r="AM68" i="1" s="1"/>
  <c r="AF68" i="1"/>
  <c r="AL68" i="1" s="1"/>
  <c r="AE68" i="1"/>
  <c r="AK68" i="1" s="1"/>
  <c r="AF67" i="1"/>
  <c r="AL67" i="1" s="1"/>
  <c r="AD67" i="1"/>
  <c r="AJ67" i="1" s="1"/>
  <c r="AC67" i="1"/>
  <c r="AI67" i="1" s="1"/>
  <c r="AO67" i="1" s="1"/>
  <c r="AB67" i="1"/>
  <c r="AH67" i="1" s="1"/>
  <c r="AN67" i="1" s="1"/>
  <c r="AG67" i="1"/>
  <c r="AM67" i="1" s="1"/>
  <c r="AE67" i="1"/>
  <c r="AK67" i="1" s="1"/>
  <c r="AG66" i="1"/>
  <c r="AM66" i="1" s="1"/>
  <c r="AD66" i="1"/>
  <c r="AJ66" i="1" s="1"/>
  <c r="AC66" i="1"/>
  <c r="AI66" i="1" s="1"/>
  <c r="AO66" i="1" s="1"/>
  <c r="AB66" i="1"/>
  <c r="AH66" i="1" s="1"/>
  <c r="AN66" i="1" s="1"/>
  <c r="AF66" i="1"/>
  <c r="AL66" i="1" s="1"/>
  <c r="AE66" i="1"/>
  <c r="AK66" i="1" s="1"/>
  <c r="AD65" i="1"/>
  <c r="AJ65" i="1" s="1"/>
  <c r="AC65" i="1"/>
  <c r="AI65" i="1" s="1"/>
  <c r="AO65" i="1" s="1"/>
  <c r="AB65" i="1"/>
  <c r="AH65" i="1" s="1"/>
  <c r="AN65" i="1" s="1"/>
  <c r="AG65" i="1"/>
  <c r="AM65" i="1" s="1"/>
  <c r="AF65" i="1"/>
  <c r="AL65" i="1" s="1"/>
  <c r="AE65" i="1"/>
  <c r="AK65" i="1" s="1"/>
  <c r="AD64" i="1"/>
  <c r="AJ64" i="1" s="1"/>
  <c r="AC64" i="1"/>
  <c r="AI64" i="1" s="1"/>
  <c r="AO64" i="1" s="1"/>
  <c r="AB64" i="1"/>
  <c r="AH64" i="1" s="1"/>
  <c r="AN64" i="1" s="1"/>
  <c r="AA64" i="1"/>
  <c r="AG64" i="1" s="1"/>
  <c r="AM64" i="1" s="1"/>
  <c r="Z64" i="1"/>
  <c r="AF64" i="1" s="1"/>
  <c r="AL64" i="1" s="1"/>
  <c r="Y64" i="1"/>
  <c r="AE64" i="1" s="1"/>
  <c r="AK64" i="1" s="1"/>
  <c r="AD63" i="1"/>
  <c r="AJ63" i="1" s="1"/>
  <c r="AC63" i="1"/>
  <c r="AI63" i="1" s="1"/>
  <c r="AO63" i="1" s="1"/>
  <c r="AB63" i="1"/>
  <c r="AH63" i="1" s="1"/>
  <c r="AN63" i="1" s="1"/>
  <c r="AA63" i="1"/>
  <c r="AG63" i="1" s="1"/>
  <c r="AM63" i="1" s="1"/>
  <c r="Z63" i="1"/>
  <c r="AF63" i="1" s="1"/>
  <c r="AL63" i="1" s="1"/>
  <c r="Y63" i="1"/>
  <c r="AE63" i="1" s="1"/>
  <c r="AK63" i="1" s="1"/>
  <c r="AD62" i="1"/>
  <c r="AJ62" i="1" s="1"/>
  <c r="AC62" i="1"/>
  <c r="AI62" i="1" s="1"/>
  <c r="AO62" i="1" s="1"/>
  <c r="AB62" i="1"/>
  <c r="AH62" i="1" s="1"/>
  <c r="AN62" i="1" s="1"/>
  <c r="AA62" i="1"/>
  <c r="AG62" i="1" s="1"/>
  <c r="AM62" i="1" s="1"/>
  <c r="Z62" i="1"/>
  <c r="AF62" i="1" s="1"/>
  <c r="AL62" i="1" s="1"/>
  <c r="Y62" i="1"/>
  <c r="AE62" i="1" s="1"/>
  <c r="AK62" i="1" s="1"/>
  <c r="AD61" i="1"/>
  <c r="AJ61" i="1" s="1"/>
  <c r="AC61" i="1"/>
  <c r="AI61" i="1" s="1"/>
  <c r="AO61" i="1" s="1"/>
  <c r="AB61" i="1"/>
  <c r="AH61" i="1" s="1"/>
  <c r="AN61" i="1" s="1"/>
  <c r="AA61" i="1"/>
  <c r="AG61" i="1" s="1"/>
  <c r="AM61" i="1" s="1"/>
  <c r="Z61" i="1"/>
  <c r="AF61" i="1" s="1"/>
  <c r="AL61" i="1" s="1"/>
  <c r="Y61" i="1"/>
  <c r="AE61" i="1" s="1"/>
  <c r="AK61" i="1" s="1"/>
  <c r="AD60" i="1"/>
  <c r="AJ60" i="1" s="1"/>
  <c r="AC60" i="1"/>
  <c r="AI60" i="1" s="1"/>
  <c r="AO60" i="1" s="1"/>
  <c r="AB60" i="1"/>
  <c r="AH60" i="1" s="1"/>
  <c r="AN60" i="1" s="1"/>
  <c r="AA60" i="1"/>
  <c r="AG60" i="1" s="1"/>
  <c r="AM60" i="1" s="1"/>
  <c r="Z60" i="1"/>
  <c r="AF60" i="1" s="1"/>
  <c r="AL60" i="1" s="1"/>
  <c r="Y60" i="1"/>
  <c r="AE60" i="1" s="1"/>
  <c r="AK60" i="1" s="1"/>
  <c r="AD59" i="1"/>
  <c r="AJ59" i="1" s="1"/>
  <c r="AC59" i="1"/>
  <c r="AI59" i="1" s="1"/>
  <c r="AO59" i="1" s="1"/>
  <c r="AB59" i="1"/>
  <c r="AH59" i="1" s="1"/>
  <c r="AN59" i="1" s="1"/>
  <c r="AA59" i="1"/>
  <c r="AG59" i="1" s="1"/>
  <c r="AM59" i="1" s="1"/>
  <c r="Z59" i="1"/>
  <c r="AF59" i="1" s="1"/>
  <c r="AL59" i="1" s="1"/>
  <c r="Y59" i="1"/>
  <c r="AE59" i="1" s="1"/>
  <c r="AK59" i="1" s="1"/>
  <c r="AD58" i="1"/>
  <c r="AJ58" i="1" s="1"/>
  <c r="AC58" i="1"/>
  <c r="AI58" i="1" s="1"/>
  <c r="AO58" i="1" s="1"/>
  <c r="AB58" i="1"/>
  <c r="AH58" i="1" s="1"/>
  <c r="AN58" i="1" s="1"/>
  <c r="AA58" i="1"/>
  <c r="AG58" i="1" s="1"/>
  <c r="AM58" i="1" s="1"/>
  <c r="Z58" i="1"/>
  <c r="AF58" i="1" s="1"/>
  <c r="AL58" i="1" s="1"/>
  <c r="Y58" i="1"/>
  <c r="AE58" i="1" s="1"/>
  <c r="AK58" i="1" s="1"/>
  <c r="AD57" i="1"/>
  <c r="AJ57" i="1" s="1"/>
  <c r="AC57" i="1"/>
  <c r="AI57" i="1" s="1"/>
  <c r="AO57" i="1" s="1"/>
  <c r="AB57" i="1"/>
  <c r="AH57" i="1" s="1"/>
  <c r="AN57" i="1" s="1"/>
  <c r="AA57" i="1"/>
  <c r="AG57" i="1" s="1"/>
  <c r="AM57" i="1" s="1"/>
  <c r="Z57" i="1"/>
  <c r="AF57" i="1" s="1"/>
  <c r="AL57" i="1" s="1"/>
  <c r="Y57" i="1"/>
  <c r="AE57" i="1" s="1"/>
  <c r="AK57" i="1" s="1"/>
  <c r="AD56" i="1"/>
  <c r="AJ56" i="1" s="1"/>
  <c r="AC56" i="1"/>
  <c r="AI56" i="1" s="1"/>
  <c r="AO56" i="1" s="1"/>
  <c r="AB56" i="1"/>
  <c r="AH56" i="1" s="1"/>
  <c r="AN56" i="1" s="1"/>
  <c r="AA56" i="1"/>
  <c r="AG56" i="1" s="1"/>
  <c r="AM56" i="1" s="1"/>
  <c r="Z56" i="1"/>
  <c r="AF56" i="1" s="1"/>
  <c r="AL56" i="1" s="1"/>
  <c r="Y56" i="1"/>
  <c r="AE56" i="1" s="1"/>
  <c r="AK56" i="1" s="1"/>
  <c r="AD55" i="1"/>
  <c r="AJ55" i="1" s="1"/>
  <c r="AC55" i="1"/>
  <c r="AI55" i="1" s="1"/>
  <c r="AO55" i="1" s="1"/>
  <c r="AB55" i="1"/>
  <c r="AH55" i="1" s="1"/>
  <c r="AN55" i="1" s="1"/>
  <c r="AA55" i="1"/>
  <c r="AG55" i="1" s="1"/>
  <c r="AM55" i="1" s="1"/>
  <c r="Z55" i="1"/>
  <c r="AF55" i="1" s="1"/>
  <c r="AL55" i="1" s="1"/>
  <c r="Y55" i="1"/>
  <c r="AE55" i="1" s="1"/>
  <c r="AK55" i="1" s="1"/>
  <c r="AD54" i="1"/>
  <c r="AJ54" i="1" s="1"/>
  <c r="AC54" i="1"/>
  <c r="AI54" i="1" s="1"/>
  <c r="AO54" i="1" s="1"/>
  <c r="AB54" i="1"/>
  <c r="AH54" i="1" s="1"/>
  <c r="AN54" i="1" s="1"/>
  <c r="AA54" i="1"/>
  <c r="AG54" i="1" s="1"/>
  <c r="AM54" i="1" s="1"/>
  <c r="Z54" i="1"/>
  <c r="AF54" i="1" s="1"/>
  <c r="AL54" i="1" s="1"/>
  <c r="Y54" i="1"/>
  <c r="AE54" i="1" s="1"/>
  <c r="AK54" i="1" s="1"/>
  <c r="AD53" i="1"/>
  <c r="AJ53" i="1" s="1"/>
  <c r="AC53" i="1"/>
  <c r="AI53" i="1" s="1"/>
  <c r="AO53" i="1" s="1"/>
  <c r="AB53" i="1"/>
  <c r="AH53" i="1" s="1"/>
  <c r="AN53" i="1" s="1"/>
  <c r="AA53" i="1"/>
  <c r="AG53" i="1" s="1"/>
  <c r="AM53" i="1" s="1"/>
  <c r="Z53" i="1"/>
  <c r="AF53" i="1" s="1"/>
  <c r="AL53" i="1" s="1"/>
  <c r="Y53" i="1"/>
  <c r="AE53" i="1" s="1"/>
  <c r="AK53" i="1" s="1"/>
  <c r="AD52" i="1"/>
  <c r="AJ52" i="1" s="1"/>
  <c r="AC52" i="1"/>
  <c r="AI52" i="1" s="1"/>
  <c r="AO52" i="1" s="1"/>
  <c r="AB52" i="1"/>
  <c r="AH52" i="1" s="1"/>
  <c r="AN52" i="1" s="1"/>
  <c r="AA52" i="1"/>
  <c r="AG52" i="1" s="1"/>
  <c r="AM52" i="1" s="1"/>
  <c r="Z52" i="1"/>
  <c r="AF52" i="1" s="1"/>
  <c r="AL52" i="1" s="1"/>
  <c r="Y52" i="1"/>
  <c r="AE52" i="1" s="1"/>
  <c r="AK52" i="1" s="1"/>
  <c r="AD51" i="1"/>
  <c r="AJ51" i="1" s="1"/>
  <c r="AC51" i="1"/>
  <c r="AI51" i="1" s="1"/>
  <c r="AO51" i="1" s="1"/>
  <c r="AB51" i="1"/>
  <c r="AH51" i="1" s="1"/>
  <c r="AN51" i="1" s="1"/>
  <c r="AA51" i="1"/>
  <c r="AG51" i="1" s="1"/>
  <c r="AM51" i="1" s="1"/>
  <c r="Z51" i="1"/>
  <c r="AF51" i="1" s="1"/>
  <c r="AL51" i="1" s="1"/>
  <c r="Y51" i="1"/>
  <c r="AE51" i="1" s="1"/>
  <c r="AK51" i="1" s="1"/>
  <c r="AD50" i="1"/>
  <c r="AJ50" i="1" s="1"/>
  <c r="AC50" i="1"/>
  <c r="AI50" i="1" s="1"/>
  <c r="AO50" i="1" s="1"/>
  <c r="AB50" i="1"/>
  <c r="AH50" i="1" s="1"/>
  <c r="AN50" i="1" s="1"/>
  <c r="AA50" i="1"/>
  <c r="AG50" i="1" s="1"/>
  <c r="AM50" i="1" s="1"/>
  <c r="Z50" i="1"/>
  <c r="AF50" i="1" s="1"/>
  <c r="AL50" i="1" s="1"/>
  <c r="Y50" i="1"/>
  <c r="AE50" i="1" s="1"/>
  <c r="AK50" i="1" s="1"/>
  <c r="AD49" i="1"/>
  <c r="AJ49" i="1" s="1"/>
  <c r="AC49" i="1"/>
  <c r="AI49" i="1" s="1"/>
  <c r="AO49" i="1" s="1"/>
  <c r="AB49" i="1"/>
  <c r="AH49" i="1" s="1"/>
  <c r="AN49" i="1" s="1"/>
  <c r="AA49" i="1"/>
  <c r="AG49" i="1" s="1"/>
  <c r="AM49" i="1" s="1"/>
  <c r="Z49" i="1"/>
  <c r="AF49" i="1" s="1"/>
  <c r="AL49" i="1" s="1"/>
  <c r="Y49" i="1"/>
  <c r="AE49" i="1" s="1"/>
  <c r="AK49" i="1" s="1"/>
  <c r="AD48" i="1"/>
  <c r="AJ48" i="1" s="1"/>
  <c r="AC48" i="1"/>
  <c r="AI48" i="1" s="1"/>
  <c r="AO48" i="1" s="1"/>
  <c r="AB48" i="1"/>
  <c r="AH48" i="1" s="1"/>
  <c r="AN48" i="1" s="1"/>
  <c r="AA48" i="1"/>
  <c r="AG48" i="1" s="1"/>
  <c r="AM48" i="1" s="1"/>
  <c r="Z48" i="1"/>
  <c r="AF48" i="1" s="1"/>
  <c r="AL48" i="1" s="1"/>
  <c r="Y48" i="1"/>
  <c r="AE48" i="1" s="1"/>
  <c r="AK48" i="1" s="1"/>
  <c r="AD47" i="1"/>
  <c r="AJ47" i="1" s="1"/>
  <c r="AC47" i="1"/>
  <c r="AI47" i="1" s="1"/>
  <c r="AO47" i="1" s="1"/>
  <c r="AB47" i="1"/>
  <c r="AH47" i="1" s="1"/>
  <c r="AN47" i="1" s="1"/>
  <c r="AA47" i="1"/>
  <c r="AG47" i="1" s="1"/>
  <c r="AM47" i="1" s="1"/>
  <c r="Z47" i="1"/>
  <c r="AF47" i="1" s="1"/>
  <c r="AL47" i="1" s="1"/>
  <c r="Y47" i="1"/>
  <c r="AE47" i="1" s="1"/>
  <c r="AK47" i="1" s="1"/>
  <c r="AD46" i="1"/>
  <c r="AJ46" i="1" s="1"/>
  <c r="AC46" i="1"/>
  <c r="AI46" i="1" s="1"/>
  <c r="AO46" i="1" s="1"/>
  <c r="AB46" i="1"/>
  <c r="AH46" i="1" s="1"/>
  <c r="AN46" i="1" s="1"/>
  <c r="AA46" i="1"/>
  <c r="AG46" i="1" s="1"/>
  <c r="AM46" i="1" s="1"/>
  <c r="Z46" i="1"/>
  <c r="AF46" i="1" s="1"/>
  <c r="AL46" i="1" s="1"/>
  <c r="Y46" i="1"/>
  <c r="AE46" i="1" s="1"/>
  <c r="AK46" i="1" s="1"/>
  <c r="AD45" i="1"/>
  <c r="AJ45" i="1" s="1"/>
  <c r="AC45" i="1"/>
  <c r="AI45" i="1" s="1"/>
  <c r="AO45" i="1" s="1"/>
  <c r="AB45" i="1"/>
  <c r="AH45" i="1" s="1"/>
  <c r="AN45" i="1" s="1"/>
  <c r="AA45" i="1"/>
  <c r="AG45" i="1" s="1"/>
  <c r="AM45" i="1" s="1"/>
  <c r="Z45" i="1"/>
  <c r="AF45" i="1" s="1"/>
  <c r="AL45" i="1" s="1"/>
  <c r="Y45" i="1"/>
  <c r="AE45" i="1" s="1"/>
  <c r="AK45" i="1" s="1"/>
  <c r="AD44" i="1"/>
  <c r="AJ44" i="1" s="1"/>
  <c r="AC44" i="1"/>
  <c r="AI44" i="1" s="1"/>
  <c r="AO44" i="1" s="1"/>
  <c r="AB44" i="1"/>
  <c r="AH44" i="1" s="1"/>
  <c r="AN44" i="1" s="1"/>
  <c r="AA44" i="1"/>
  <c r="AG44" i="1" s="1"/>
  <c r="AM44" i="1" s="1"/>
  <c r="Z44" i="1"/>
  <c r="AF44" i="1" s="1"/>
  <c r="AL44" i="1" s="1"/>
  <c r="Y44" i="1"/>
  <c r="AE44" i="1" s="1"/>
  <c r="AK44" i="1" s="1"/>
  <c r="AD43" i="1"/>
  <c r="AJ43" i="1" s="1"/>
  <c r="AC43" i="1"/>
  <c r="AI43" i="1" s="1"/>
  <c r="AO43" i="1" s="1"/>
  <c r="AB43" i="1"/>
  <c r="AH43" i="1" s="1"/>
  <c r="AN43" i="1" s="1"/>
  <c r="AA43" i="1"/>
  <c r="AG43" i="1" s="1"/>
  <c r="AM43" i="1" s="1"/>
  <c r="Z43" i="1"/>
  <c r="AF43" i="1" s="1"/>
  <c r="AL43" i="1" s="1"/>
  <c r="Y43" i="1"/>
  <c r="AE43" i="1" s="1"/>
  <c r="AK43" i="1" s="1"/>
  <c r="AD42" i="1"/>
  <c r="AJ42" i="1" s="1"/>
  <c r="AC42" i="1"/>
  <c r="AI42" i="1" s="1"/>
  <c r="AO42" i="1" s="1"/>
  <c r="AB42" i="1"/>
  <c r="AH42" i="1" s="1"/>
  <c r="AN42" i="1" s="1"/>
  <c r="AA42" i="1"/>
  <c r="AG42" i="1" s="1"/>
  <c r="AM42" i="1" s="1"/>
  <c r="Z42" i="1"/>
  <c r="AF42" i="1" s="1"/>
  <c r="AL42" i="1" s="1"/>
  <c r="Y42" i="1"/>
  <c r="AE42" i="1" s="1"/>
  <c r="AK42" i="1" s="1"/>
  <c r="AD41" i="1"/>
  <c r="AJ41" i="1" s="1"/>
  <c r="AC41" i="1"/>
  <c r="AI41" i="1" s="1"/>
  <c r="AO41" i="1" s="1"/>
  <c r="AB41" i="1"/>
  <c r="AH41" i="1" s="1"/>
  <c r="AN41" i="1" s="1"/>
  <c r="AA41" i="1"/>
  <c r="AG41" i="1" s="1"/>
  <c r="AM41" i="1" s="1"/>
  <c r="Z41" i="1"/>
  <c r="AF41" i="1" s="1"/>
  <c r="AL41" i="1" s="1"/>
  <c r="Y41" i="1"/>
  <c r="AE41" i="1" s="1"/>
  <c r="AK41" i="1" s="1"/>
  <c r="AD40" i="1"/>
  <c r="AJ40" i="1" s="1"/>
  <c r="AC40" i="1"/>
  <c r="AI40" i="1" s="1"/>
  <c r="AO40" i="1" s="1"/>
  <c r="AB40" i="1"/>
  <c r="AH40" i="1" s="1"/>
  <c r="AN40" i="1" s="1"/>
  <c r="AA40" i="1"/>
  <c r="AG40" i="1" s="1"/>
  <c r="AM40" i="1" s="1"/>
  <c r="Z40" i="1"/>
  <c r="AF40" i="1" s="1"/>
  <c r="AL40" i="1" s="1"/>
  <c r="Y40" i="1"/>
  <c r="AE40" i="1" s="1"/>
  <c r="AK40" i="1" s="1"/>
  <c r="AD39" i="1"/>
  <c r="AJ39" i="1" s="1"/>
  <c r="AC39" i="1"/>
  <c r="AI39" i="1" s="1"/>
  <c r="AO39" i="1" s="1"/>
  <c r="AB39" i="1"/>
  <c r="AH39" i="1" s="1"/>
  <c r="AN39" i="1" s="1"/>
  <c r="AA39" i="1"/>
  <c r="AG39" i="1" s="1"/>
  <c r="AM39" i="1" s="1"/>
  <c r="Z39" i="1"/>
  <c r="AF39" i="1" s="1"/>
  <c r="AL39" i="1" s="1"/>
  <c r="Y39" i="1"/>
  <c r="AE39" i="1" s="1"/>
  <c r="AK39" i="1" s="1"/>
  <c r="AD38" i="1"/>
  <c r="AJ38" i="1" s="1"/>
  <c r="AC38" i="1"/>
  <c r="AI38" i="1" s="1"/>
  <c r="AO38" i="1" s="1"/>
  <c r="AB38" i="1"/>
  <c r="AH38" i="1" s="1"/>
  <c r="AN38" i="1" s="1"/>
  <c r="AA38" i="1"/>
  <c r="AG38" i="1" s="1"/>
  <c r="AM38" i="1" s="1"/>
  <c r="Z38" i="1"/>
  <c r="AF38" i="1" s="1"/>
  <c r="AL38" i="1" s="1"/>
  <c r="Y38" i="1"/>
  <c r="AE38" i="1" s="1"/>
  <c r="AK38" i="1" s="1"/>
  <c r="AD37" i="1"/>
  <c r="AJ37" i="1" s="1"/>
  <c r="AC37" i="1"/>
  <c r="AI37" i="1" s="1"/>
  <c r="AO37" i="1" s="1"/>
  <c r="AB37" i="1"/>
  <c r="AH37" i="1" s="1"/>
  <c r="AN37" i="1" s="1"/>
  <c r="AA37" i="1"/>
  <c r="AG37" i="1" s="1"/>
  <c r="AM37" i="1" s="1"/>
  <c r="Z37" i="1"/>
  <c r="AF37" i="1" s="1"/>
  <c r="AL37" i="1" s="1"/>
  <c r="Y37" i="1"/>
  <c r="AE37" i="1" s="1"/>
  <c r="AK37" i="1" s="1"/>
  <c r="AD36" i="1"/>
  <c r="AJ36" i="1" s="1"/>
  <c r="AC36" i="1"/>
  <c r="AI36" i="1" s="1"/>
  <c r="AO36" i="1" s="1"/>
  <c r="AB36" i="1"/>
  <c r="AH36" i="1" s="1"/>
  <c r="AN36" i="1" s="1"/>
  <c r="AA36" i="1"/>
  <c r="AG36" i="1" s="1"/>
  <c r="AM36" i="1" s="1"/>
  <c r="Z36" i="1"/>
  <c r="AF36" i="1" s="1"/>
  <c r="AL36" i="1" s="1"/>
  <c r="Y36" i="1"/>
  <c r="AE36" i="1" s="1"/>
  <c r="AK36" i="1" s="1"/>
  <c r="AD35" i="1"/>
  <c r="AJ35" i="1" s="1"/>
  <c r="AC35" i="1"/>
  <c r="AI35" i="1" s="1"/>
  <c r="AO35" i="1" s="1"/>
  <c r="AB35" i="1"/>
  <c r="AH35" i="1" s="1"/>
  <c r="AN35" i="1" s="1"/>
  <c r="AA35" i="1"/>
  <c r="AG35" i="1" s="1"/>
  <c r="AM35" i="1" s="1"/>
  <c r="Z35" i="1"/>
  <c r="AF35" i="1" s="1"/>
  <c r="AL35" i="1" s="1"/>
  <c r="Y35" i="1"/>
  <c r="AE35" i="1" s="1"/>
  <c r="AK35" i="1" s="1"/>
  <c r="AD34" i="1"/>
  <c r="AJ34" i="1" s="1"/>
  <c r="AC34" i="1"/>
  <c r="AI34" i="1" s="1"/>
  <c r="AO34" i="1" s="1"/>
  <c r="AB34" i="1"/>
  <c r="AH34" i="1" s="1"/>
  <c r="AN34" i="1" s="1"/>
  <c r="AA34" i="1"/>
  <c r="AG34" i="1" s="1"/>
  <c r="AM34" i="1" s="1"/>
  <c r="Z34" i="1"/>
  <c r="AF34" i="1" s="1"/>
  <c r="AL34" i="1" s="1"/>
  <c r="Y34" i="1"/>
  <c r="AE34" i="1" s="1"/>
  <c r="AK34" i="1" s="1"/>
  <c r="AD33" i="1"/>
  <c r="AJ33" i="1" s="1"/>
  <c r="AC33" i="1"/>
  <c r="AI33" i="1" s="1"/>
  <c r="AO33" i="1" s="1"/>
  <c r="AB33" i="1"/>
  <c r="AH33" i="1" s="1"/>
  <c r="AN33" i="1" s="1"/>
  <c r="AA33" i="1"/>
  <c r="AG33" i="1" s="1"/>
  <c r="AM33" i="1" s="1"/>
  <c r="Z33" i="1"/>
  <c r="AF33" i="1" s="1"/>
  <c r="AL33" i="1" s="1"/>
  <c r="Y33" i="1"/>
  <c r="AE33" i="1" s="1"/>
  <c r="AK33" i="1" s="1"/>
  <c r="AD32" i="1"/>
  <c r="AJ32" i="1" s="1"/>
  <c r="AC32" i="1"/>
  <c r="AI32" i="1" s="1"/>
  <c r="AO32" i="1" s="1"/>
  <c r="AB32" i="1"/>
  <c r="AH32" i="1" s="1"/>
  <c r="AN32" i="1" s="1"/>
  <c r="AA32" i="1"/>
  <c r="AG32" i="1" s="1"/>
  <c r="AM32" i="1" s="1"/>
  <c r="Z32" i="1"/>
  <c r="AF32" i="1" s="1"/>
  <c r="AL32" i="1" s="1"/>
  <c r="Y32" i="1"/>
  <c r="AE32" i="1" s="1"/>
  <c r="AK32" i="1" s="1"/>
  <c r="AD31" i="1"/>
  <c r="AJ31" i="1" s="1"/>
  <c r="AC31" i="1"/>
  <c r="AI31" i="1" s="1"/>
  <c r="AO31" i="1" s="1"/>
  <c r="AB31" i="1"/>
  <c r="AH31" i="1" s="1"/>
  <c r="AN31" i="1" s="1"/>
  <c r="AA31" i="1"/>
  <c r="AG31" i="1" s="1"/>
  <c r="AM31" i="1" s="1"/>
  <c r="Z31" i="1"/>
  <c r="AF31" i="1" s="1"/>
  <c r="AL31" i="1" s="1"/>
  <c r="Y31" i="1"/>
  <c r="AE31" i="1" s="1"/>
  <c r="AK31" i="1" s="1"/>
  <c r="AD30" i="1"/>
  <c r="AJ30" i="1" s="1"/>
  <c r="AC30" i="1"/>
  <c r="AI30" i="1" s="1"/>
  <c r="AO30" i="1" s="1"/>
  <c r="AB30" i="1"/>
  <c r="AH30" i="1" s="1"/>
  <c r="AN30" i="1" s="1"/>
  <c r="AA30" i="1"/>
  <c r="AG30" i="1" s="1"/>
  <c r="AM30" i="1" s="1"/>
  <c r="Z30" i="1"/>
  <c r="AF30" i="1" s="1"/>
  <c r="AL30" i="1" s="1"/>
  <c r="Y30" i="1"/>
  <c r="AE30" i="1" s="1"/>
  <c r="AK30" i="1" s="1"/>
  <c r="AD29" i="1"/>
  <c r="AJ29" i="1" s="1"/>
  <c r="AC29" i="1"/>
  <c r="AI29" i="1" s="1"/>
  <c r="AO29" i="1" s="1"/>
  <c r="AB29" i="1"/>
  <c r="AH29" i="1" s="1"/>
  <c r="AN29" i="1" s="1"/>
  <c r="AA29" i="1"/>
  <c r="AG29" i="1" s="1"/>
  <c r="AM29" i="1" s="1"/>
  <c r="Z29" i="1"/>
  <c r="AF29" i="1" s="1"/>
  <c r="AL29" i="1" s="1"/>
  <c r="Y29" i="1"/>
  <c r="AE29" i="1" s="1"/>
  <c r="AK29" i="1" s="1"/>
  <c r="AD28" i="1"/>
  <c r="AJ28" i="1" s="1"/>
  <c r="AC28" i="1"/>
  <c r="AI28" i="1" s="1"/>
  <c r="AO28" i="1" s="1"/>
  <c r="AB28" i="1"/>
  <c r="AH28" i="1" s="1"/>
  <c r="AN28" i="1" s="1"/>
  <c r="AA28" i="1"/>
  <c r="AG28" i="1" s="1"/>
  <c r="AM28" i="1" s="1"/>
  <c r="Z28" i="1"/>
  <c r="AF28" i="1" s="1"/>
  <c r="AL28" i="1" s="1"/>
  <c r="Y28" i="1"/>
  <c r="AE28" i="1" s="1"/>
  <c r="AK28" i="1" s="1"/>
  <c r="AD27" i="1"/>
  <c r="AJ27" i="1" s="1"/>
  <c r="AC27" i="1"/>
  <c r="AI27" i="1" s="1"/>
  <c r="AO27" i="1" s="1"/>
  <c r="AB27" i="1"/>
  <c r="AH27" i="1" s="1"/>
  <c r="AN27" i="1" s="1"/>
  <c r="AA27" i="1"/>
  <c r="AG27" i="1" s="1"/>
  <c r="AM27" i="1" s="1"/>
  <c r="Z27" i="1"/>
  <c r="AF27" i="1" s="1"/>
  <c r="AL27" i="1" s="1"/>
  <c r="Y27" i="1"/>
  <c r="AE27" i="1" s="1"/>
  <c r="AK27" i="1" s="1"/>
  <c r="AD26" i="1"/>
  <c r="AJ26" i="1" s="1"/>
  <c r="AC26" i="1"/>
  <c r="AI26" i="1" s="1"/>
  <c r="AO26" i="1" s="1"/>
  <c r="AB26" i="1"/>
  <c r="AH26" i="1" s="1"/>
  <c r="AN26" i="1" s="1"/>
  <c r="AA26" i="1"/>
  <c r="AG26" i="1" s="1"/>
  <c r="AM26" i="1" s="1"/>
  <c r="Z26" i="1"/>
  <c r="AF26" i="1" s="1"/>
  <c r="AL26" i="1" s="1"/>
  <c r="Y26" i="1"/>
  <c r="AE26" i="1" s="1"/>
  <c r="AK26" i="1" s="1"/>
  <c r="AD25" i="1"/>
  <c r="AJ25" i="1" s="1"/>
  <c r="AC25" i="1"/>
  <c r="AI25" i="1" s="1"/>
  <c r="AO25" i="1" s="1"/>
  <c r="AB25" i="1"/>
  <c r="AH25" i="1" s="1"/>
  <c r="AN25" i="1" s="1"/>
  <c r="AA25" i="1"/>
  <c r="AG25" i="1" s="1"/>
  <c r="AM25" i="1" s="1"/>
  <c r="Z25" i="1"/>
  <c r="AF25" i="1" s="1"/>
  <c r="AL25" i="1" s="1"/>
  <c r="Y25" i="1"/>
  <c r="AE25" i="1" s="1"/>
  <c r="AK25" i="1" s="1"/>
  <c r="AD24" i="1"/>
  <c r="AJ24" i="1" s="1"/>
  <c r="AC24" i="1"/>
  <c r="AI24" i="1" s="1"/>
  <c r="AO24" i="1" s="1"/>
  <c r="AB24" i="1"/>
  <c r="AH24" i="1" s="1"/>
  <c r="AN24" i="1" s="1"/>
  <c r="AA24" i="1"/>
  <c r="AG24" i="1" s="1"/>
  <c r="AM24" i="1" s="1"/>
  <c r="Z24" i="1"/>
  <c r="AF24" i="1" s="1"/>
  <c r="AL24" i="1" s="1"/>
  <c r="Y24" i="1"/>
  <c r="AE24" i="1" s="1"/>
  <c r="AK24" i="1" s="1"/>
  <c r="AD23" i="1"/>
  <c r="AJ23" i="1" s="1"/>
  <c r="AC23" i="1"/>
  <c r="AI23" i="1" s="1"/>
  <c r="AO23" i="1" s="1"/>
  <c r="AB23" i="1"/>
  <c r="AH23" i="1" s="1"/>
  <c r="AN23" i="1" s="1"/>
  <c r="AA23" i="1"/>
  <c r="AG23" i="1" s="1"/>
  <c r="AM23" i="1" s="1"/>
  <c r="Z23" i="1"/>
  <c r="AF23" i="1" s="1"/>
  <c r="AL23" i="1" s="1"/>
  <c r="Y23" i="1"/>
  <c r="AE23" i="1" s="1"/>
  <c r="AK23" i="1" s="1"/>
  <c r="AD22" i="1"/>
  <c r="AJ22" i="1" s="1"/>
  <c r="AC22" i="1"/>
  <c r="AI22" i="1" s="1"/>
  <c r="AO22" i="1" s="1"/>
  <c r="AB22" i="1"/>
  <c r="AH22" i="1" s="1"/>
  <c r="AN22" i="1" s="1"/>
  <c r="AA22" i="1"/>
  <c r="AG22" i="1" s="1"/>
  <c r="AM22" i="1" s="1"/>
  <c r="Z22" i="1"/>
  <c r="AF22" i="1" s="1"/>
  <c r="AL22" i="1" s="1"/>
  <c r="Y22" i="1"/>
  <c r="AE22" i="1" s="1"/>
  <c r="AK22" i="1" s="1"/>
  <c r="AD21" i="1"/>
  <c r="AJ21" i="1" s="1"/>
  <c r="AC21" i="1"/>
  <c r="AI21" i="1" s="1"/>
  <c r="AO21" i="1" s="1"/>
  <c r="AB21" i="1"/>
  <c r="AH21" i="1" s="1"/>
  <c r="AN21" i="1" s="1"/>
  <c r="AA21" i="1"/>
  <c r="AG21" i="1" s="1"/>
  <c r="AM21" i="1" s="1"/>
  <c r="Z21" i="1"/>
  <c r="AF21" i="1" s="1"/>
  <c r="AL21" i="1" s="1"/>
  <c r="Y21" i="1"/>
  <c r="AE21" i="1" s="1"/>
  <c r="AK21" i="1" s="1"/>
  <c r="AD20" i="1"/>
  <c r="AJ20" i="1" s="1"/>
  <c r="AC20" i="1"/>
  <c r="AI20" i="1" s="1"/>
  <c r="AO20" i="1" s="1"/>
  <c r="AB20" i="1"/>
  <c r="AH20" i="1" s="1"/>
  <c r="AN20" i="1" s="1"/>
  <c r="AA20" i="1"/>
  <c r="AG20" i="1" s="1"/>
  <c r="AM20" i="1" s="1"/>
  <c r="Z20" i="1"/>
  <c r="AF20" i="1" s="1"/>
  <c r="AL20" i="1" s="1"/>
  <c r="Y20" i="1"/>
  <c r="AE20" i="1" s="1"/>
  <c r="AK20" i="1" s="1"/>
  <c r="AD19" i="1"/>
  <c r="AJ19" i="1" s="1"/>
  <c r="AC19" i="1"/>
  <c r="AI19" i="1" s="1"/>
  <c r="AO19" i="1" s="1"/>
  <c r="AB19" i="1"/>
  <c r="AH19" i="1" s="1"/>
  <c r="AN19" i="1" s="1"/>
  <c r="AA19" i="1"/>
  <c r="AG19" i="1" s="1"/>
  <c r="AM19" i="1" s="1"/>
  <c r="Z19" i="1"/>
  <c r="AF19" i="1" s="1"/>
  <c r="AL19" i="1" s="1"/>
  <c r="Y19" i="1"/>
  <c r="AE19" i="1" s="1"/>
  <c r="AK19" i="1" s="1"/>
  <c r="AD18" i="1"/>
  <c r="AJ18" i="1" s="1"/>
  <c r="AC18" i="1"/>
  <c r="AI18" i="1" s="1"/>
  <c r="AO18" i="1" s="1"/>
  <c r="AB18" i="1"/>
  <c r="AH18" i="1" s="1"/>
  <c r="AN18" i="1" s="1"/>
  <c r="AA18" i="1"/>
  <c r="AG18" i="1" s="1"/>
  <c r="AM18" i="1" s="1"/>
  <c r="Z18" i="1"/>
  <c r="AF18" i="1" s="1"/>
  <c r="AL18" i="1" s="1"/>
  <c r="Y18" i="1"/>
  <c r="AE18" i="1" s="1"/>
  <c r="AK18" i="1" s="1"/>
  <c r="AD17" i="1"/>
  <c r="AJ17" i="1" s="1"/>
  <c r="AC17" i="1"/>
  <c r="AI17" i="1" s="1"/>
  <c r="AO17" i="1" s="1"/>
  <c r="AB17" i="1"/>
  <c r="AH17" i="1" s="1"/>
  <c r="AN17" i="1" s="1"/>
  <c r="AA17" i="1"/>
  <c r="AG17" i="1" s="1"/>
  <c r="AM17" i="1" s="1"/>
  <c r="Z17" i="1"/>
  <c r="AF17" i="1" s="1"/>
  <c r="AL17" i="1" s="1"/>
  <c r="Y17" i="1"/>
  <c r="AE17" i="1" s="1"/>
  <c r="AK17" i="1" s="1"/>
  <c r="AD16" i="1"/>
  <c r="AJ16" i="1" s="1"/>
  <c r="AC16" i="1"/>
  <c r="AI16" i="1" s="1"/>
  <c r="AO16" i="1" s="1"/>
  <c r="AB16" i="1"/>
  <c r="AH16" i="1" s="1"/>
  <c r="AN16" i="1" s="1"/>
  <c r="AA16" i="1"/>
  <c r="AG16" i="1" s="1"/>
  <c r="AM16" i="1" s="1"/>
  <c r="Z16" i="1"/>
  <c r="AF16" i="1" s="1"/>
  <c r="AL16" i="1" s="1"/>
  <c r="Y16" i="1"/>
  <c r="AE16" i="1" s="1"/>
  <c r="AK16" i="1" s="1"/>
  <c r="AD15" i="1"/>
  <c r="AJ15" i="1" s="1"/>
  <c r="AC15" i="1"/>
  <c r="AI15" i="1" s="1"/>
  <c r="AO15" i="1" s="1"/>
  <c r="AB15" i="1"/>
  <c r="AH15" i="1" s="1"/>
  <c r="AN15" i="1" s="1"/>
  <c r="AA15" i="1"/>
  <c r="AG15" i="1" s="1"/>
  <c r="AM15" i="1" s="1"/>
  <c r="Z15" i="1"/>
  <c r="AF15" i="1" s="1"/>
  <c r="AL15" i="1" s="1"/>
  <c r="Y15" i="1"/>
  <c r="AE15" i="1" s="1"/>
  <c r="AK15" i="1" s="1"/>
  <c r="AD14" i="1"/>
  <c r="AJ14" i="1" s="1"/>
  <c r="AC14" i="1"/>
  <c r="AI14" i="1" s="1"/>
  <c r="AO14" i="1" s="1"/>
  <c r="AB14" i="1"/>
  <c r="AH14" i="1" s="1"/>
  <c r="AN14" i="1" s="1"/>
  <c r="AA14" i="1"/>
  <c r="AG14" i="1" s="1"/>
  <c r="AM14" i="1" s="1"/>
  <c r="Z14" i="1"/>
  <c r="AF14" i="1" s="1"/>
  <c r="AL14" i="1" s="1"/>
  <c r="Y14" i="1"/>
  <c r="AE14" i="1" s="1"/>
  <c r="AK14" i="1" s="1"/>
  <c r="AD13" i="1"/>
  <c r="AJ13" i="1" s="1"/>
  <c r="AC13" i="1"/>
  <c r="AI13" i="1" s="1"/>
  <c r="AO13" i="1" s="1"/>
  <c r="AB13" i="1"/>
  <c r="AH13" i="1" s="1"/>
  <c r="AN13" i="1" s="1"/>
  <c r="AA13" i="1"/>
  <c r="AG13" i="1" s="1"/>
  <c r="AM13" i="1" s="1"/>
  <c r="Z13" i="1"/>
  <c r="AF13" i="1" s="1"/>
  <c r="AL13" i="1" s="1"/>
  <c r="Y13" i="1"/>
  <c r="AE13" i="1" s="1"/>
  <c r="AK13" i="1" s="1"/>
  <c r="AD12" i="1"/>
  <c r="AJ12" i="1" s="1"/>
  <c r="AC12" i="1"/>
  <c r="AI12" i="1" s="1"/>
  <c r="AO12" i="1" s="1"/>
  <c r="AB12" i="1"/>
  <c r="AH12" i="1" s="1"/>
  <c r="AN12" i="1" s="1"/>
  <c r="AA12" i="1"/>
  <c r="AG12" i="1" s="1"/>
  <c r="AM12" i="1" s="1"/>
  <c r="Z12" i="1"/>
  <c r="AF12" i="1" s="1"/>
  <c r="AL12" i="1" s="1"/>
  <c r="Y12" i="1"/>
  <c r="AE12" i="1" s="1"/>
  <c r="AK12" i="1" s="1"/>
  <c r="AD11" i="1"/>
  <c r="AC11" i="1"/>
  <c r="AI11" i="1" s="1"/>
  <c r="AO11" i="1" s="1"/>
  <c r="AB11" i="1"/>
  <c r="AA11" i="1"/>
  <c r="AG11" i="1" s="1"/>
  <c r="AM11" i="1" s="1"/>
  <c r="Z11" i="1"/>
  <c r="AF11" i="1" s="1"/>
  <c r="AL11" i="1" s="1"/>
  <c r="Y11" i="1"/>
  <c r="AE11" i="1" s="1"/>
  <c r="AK11" i="1" s="1"/>
  <c r="AD10" i="1"/>
  <c r="AJ10" i="1" s="1"/>
  <c r="AC10" i="1"/>
  <c r="AI10" i="1" s="1"/>
  <c r="AO10" i="1" s="1"/>
  <c r="AB10" i="1"/>
  <c r="AH10" i="1" s="1"/>
  <c r="AN10" i="1" s="1"/>
  <c r="AA10" i="1"/>
  <c r="AG10" i="1" s="1"/>
  <c r="AM10" i="1" s="1"/>
  <c r="Z10" i="1"/>
  <c r="AF10" i="1" s="1"/>
  <c r="AL10" i="1" s="1"/>
  <c r="Y10" i="1"/>
  <c r="AE10" i="1" s="1"/>
  <c r="AK10" i="1" s="1"/>
  <c r="AD9" i="1"/>
  <c r="AJ9" i="1" s="1"/>
  <c r="AC9" i="1"/>
  <c r="AI9" i="1" s="1"/>
  <c r="AO9" i="1" s="1"/>
  <c r="AB9" i="1"/>
  <c r="AH9" i="1" s="1"/>
  <c r="AN9" i="1" s="1"/>
  <c r="AA9" i="1"/>
  <c r="AG9" i="1" s="1"/>
  <c r="AM9" i="1" s="1"/>
  <c r="Z9" i="1"/>
  <c r="AF9" i="1" s="1"/>
  <c r="AL9" i="1" s="1"/>
  <c r="Y9" i="1"/>
  <c r="AE9" i="1" s="1"/>
  <c r="AK9" i="1" s="1"/>
  <c r="AD8" i="1"/>
  <c r="AJ8" i="1" s="1"/>
  <c r="AC8" i="1"/>
  <c r="AI8" i="1" s="1"/>
  <c r="AO8" i="1" s="1"/>
  <c r="AB8" i="1"/>
  <c r="AH8" i="1" s="1"/>
  <c r="AN8" i="1" s="1"/>
  <c r="AA8" i="1"/>
  <c r="AG8" i="1" s="1"/>
  <c r="AM8" i="1" s="1"/>
  <c r="Z8" i="1"/>
  <c r="AF8" i="1" s="1"/>
  <c r="AL8" i="1" s="1"/>
  <c r="Y8" i="1"/>
  <c r="AE8" i="1" s="1"/>
  <c r="AK8" i="1" s="1"/>
  <c r="AD7" i="1"/>
  <c r="AJ7" i="1" s="1"/>
  <c r="AC7" i="1"/>
  <c r="AI7" i="1" s="1"/>
  <c r="AO7" i="1" s="1"/>
  <c r="AB7" i="1"/>
  <c r="AH7" i="1" s="1"/>
  <c r="AN7" i="1" s="1"/>
  <c r="AA7" i="1"/>
  <c r="Z7" i="1"/>
  <c r="AF7" i="1" s="1"/>
  <c r="AL7" i="1" s="1"/>
  <c r="Y7" i="1"/>
  <c r="AE7" i="1" s="1"/>
  <c r="AK7" i="1" s="1"/>
  <c r="AD6" i="1"/>
  <c r="AJ6" i="1" s="1"/>
  <c r="AC6" i="1"/>
  <c r="AI6" i="1" s="1"/>
  <c r="AO6" i="1" s="1"/>
  <c r="AB6" i="1"/>
  <c r="AH6" i="1" s="1"/>
  <c r="AN6" i="1" s="1"/>
  <c r="AA6" i="1"/>
  <c r="Z6" i="1"/>
  <c r="AF6" i="1" s="1"/>
  <c r="AL6" i="1" s="1"/>
  <c r="Y6" i="1"/>
  <c r="AE6" i="1" s="1"/>
  <c r="AK6" i="1" s="1"/>
  <c r="AD5" i="1"/>
  <c r="AJ5" i="1" s="1"/>
  <c r="AC5" i="1"/>
  <c r="AB5" i="1"/>
  <c r="AH5" i="1" s="1"/>
  <c r="AN5" i="1" s="1"/>
  <c r="AA5" i="1"/>
  <c r="Z5" i="1"/>
  <c r="Y5" i="1"/>
  <c r="AE5" i="1" s="1"/>
  <c r="AK5" i="1" s="1"/>
  <c r="AD3" i="1"/>
  <c r="AJ3" i="1" s="1"/>
  <c r="AC3" i="1"/>
  <c r="AI3" i="1" s="1"/>
  <c r="AB3" i="1"/>
  <c r="AH3" i="1" s="1"/>
  <c r="AA3" i="1"/>
  <c r="AG3" i="1" s="1"/>
  <c r="Z3" i="1"/>
  <c r="AF3" i="1" s="1"/>
  <c r="Y3" i="1"/>
  <c r="AE3" i="1" s="1"/>
  <c r="AD4" i="1"/>
  <c r="AJ4" i="1" s="1"/>
  <c r="AC4" i="1"/>
  <c r="AB4" i="1"/>
  <c r="AH4" i="1" s="1"/>
  <c r="AN4" i="1" s="1"/>
  <c r="AA4" i="1"/>
  <c r="Z4" i="1"/>
  <c r="Y4" i="1"/>
  <c r="AE4" i="1" s="1"/>
  <c r="AK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3"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<sst xmlns="http://schemas.openxmlformats.org/spreadsheetml/2006/main" count="8237" uniqueCount="1801">
  <si>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</si>
  <si>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</si>
  <si>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</si>
  <si>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</si>
  <si>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</si>
  <si>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</si>
  <si>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</si>
  <si>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</si>
  <si>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</si>
  <si>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</si>
  <si>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</si>
  <si>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</si>
  <si>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</si>
  <si>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</si>
  <si>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</si>
  <si>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</si>
  <si>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</si>
  <si>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</si>
  <si>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</si>
  <si>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</si>
  <si>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</si>
  <si>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</si>
  <si>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</si>
  <si>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</si>
  <si>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</si>
  <si>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</si>
  <si>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</si>
  <si>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</si>
  <si>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</si>
  <si>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</si>
  <si>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</si>
  <si>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</si>
  <si>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</si>
  <si>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</si>
  <si>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</si>
  <si>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</si>
  <si>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</si>
  <si>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</si>
  <si>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</si>
  <si>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</si>
  <si>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</si>
  <si>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</si>
  <si>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</si>
  <si>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</si>
  <si>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</si>
  <si>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</si>
  <si>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</si>
  <si>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</si>
  <si>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</si>
  <si>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</si>
  <si>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</si>
  <si>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</si>
  <si>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</si>
  <si>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</si>
  <si>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</si>
  <si>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</si>
  <si>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</si>
  <si>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</si>
  <si>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</si>
  <si>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</si>
  <si>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</si>
  <si>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</si>
  <si>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</si>
  <si>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</si>
  <si>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</si>
  <si>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</si>
  <si>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</si>
  <si>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</si>
  <si>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</si>
  <si>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</si>
  <si>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</si>
  <si>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</si>
  <si>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</si>
  <si>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</si>
  <si>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</si>
  <si>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</si>
  <si>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</si>
  <si>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</si>
  <si>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</si>
  <si>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</si>
  <si>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</si>
  <si>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</si>
  <si>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</si>
  <si>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</si>
  <si>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</si>
  <si>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</si>
  <si>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</si>
  <si>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</si>
  <si>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CmdID</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</si>
  <si>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</si>
  <si>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</si>
  <si>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</si>
  <si>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</si>
  <si>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</si>
  <si>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</si>
  <si>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</si>
  <si>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</si>
  <si>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</si>
  <si>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</si>
  <si>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</si>
  <si>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</si>
  <si>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</si>
  <si>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</si>
  <si>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</si>
  <si>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</si>
  <si>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</si>
  <si>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</si>
  <si>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</si>
  <si>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</si>
  <si>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</si>
  <si>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</si>
  <si>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</si>
  <si>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</si>
  <si>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</si>
  <si>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</si>
  <si>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</si>
  <si>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</si>
  <si>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</si>
  <si>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</si>
  <si>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</si>
  <si>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</si>
  <si>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</si>
  <si>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</si>
  <si>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</si>
  <si>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</si>
  <si>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</si>
  <si>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</si>
  <si>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</si>
  <si>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</si>
  <si>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</si>
  <si>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</si>
  <si>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</si>
  <si>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</si>
  <si>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</si>
  <si>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</si>
  <si>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</si>
  <si>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</si>
  <si>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</si>
  <si>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</si>
  <si>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</si>
  <si>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</si>
  <si>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</si>
  <si>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</si>
  <si>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</si>
  <si>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</si>
  <si>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</si>
  <si>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</si>
  <si>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</si>
  <si>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</si>
  <si>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</si>
  <si>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</si>
  <si>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</si>
  <si>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</si>
  <si>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</si>
  <si>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</si>
  <si>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</si>
  <si>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</si>
  <si>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Data1</t>
  </si>
  <si>
    <t>Data2</t>
  </si>
  <si>
    <t>Data3</t>
  </si>
  <si>
    <t>Tail</t>
  </si>
  <si>
    <t>Data4</t>
  </si>
  <si>
    <t>QuerySystemCaps</t>
  </si>
  <si>
    <t>DVRAuth</t>
  </si>
  <si>
    <t>Packet</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</si>
  <si>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</si>
  <si>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</si>
  <si>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</si>
  <si>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</si>
  <si>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</si>
  <si>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</si>
  <si>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</si>
  <si>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</si>
  <si>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</si>
  <si>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</si>
  <si>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</si>
  <si>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</si>
  <si>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</si>
  <si>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</si>
  <si>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</si>
  <si>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</si>
  <si>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</si>
  <si>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</si>
  <si>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</si>
  <si>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</si>
  <si>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</si>
  <si>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</si>
  <si>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</si>
  <si>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</si>
  <si>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</si>
  <si>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</si>
  <si>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</si>
  <si>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</si>
  <si>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</si>
  <si>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</si>
  <si>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</si>
  <si>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</si>
  <si>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</si>
  <si>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</si>
  <si>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</si>
  <si>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</si>
  <si>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</si>
  <si>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</si>
  <si>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</si>
  <si>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</si>
  <si>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</si>
  <si>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</si>
  <si>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</si>
  <si>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</si>
  <si>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</si>
  <si>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</si>
  <si>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</si>
  <si>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</si>
  <si>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</si>
  <si>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</si>
  <si>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</si>
  <si>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</si>
  <si>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</si>
  <si>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</si>
  <si>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</si>
  <si>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</si>
  <si>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</si>
  <si>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</si>
  <si>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</si>
  <si>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</si>
  <si>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</si>
  <si>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</si>
  <si>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</si>
  <si>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</si>
  <si>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</si>
  <si>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</si>
  <si>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</si>
  <si>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</si>
  <si>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</si>
  <si>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</si>
  <si>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</si>
  <si>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</si>
  <si>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</si>
  <si>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</si>
  <si>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</si>
  <si>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</si>
  <si>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</si>
  <si>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</si>
  <si>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</si>
  <si>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</si>
  <si>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</si>
  <si>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</si>
  <si>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</si>
  <si>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</si>
  <si>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</si>
  <si>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</si>
  <si>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</si>
  <si>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</si>
  <si>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</si>
  <si>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</si>
  <si>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</si>
  <si>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</si>
  <si>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</si>
  <si>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</si>
  <si>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</si>
  <si>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</si>
  <si>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</si>
  <si>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</si>
  <si>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</si>
  <si>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</si>
  <si>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</si>
  <si>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</si>
  <si>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</si>
  <si>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</si>
  <si>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</si>
  <si>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</si>
  <si>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</si>
  <si>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</si>
  <si>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</si>
  <si>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</si>
  <si>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</si>
  <si>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</si>
  <si>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</si>
  <si>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</si>
  <si>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</si>
  <si>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</si>
  <si>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</si>
  <si>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</si>
  <si>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</si>
  <si>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</si>
  <si>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</si>
  <si>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</si>
  <si>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</si>
  <si>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</si>
  <si>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</si>
  <si>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</si>
  <si>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</si>
  <si>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</si>
  <si>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</si>
  <si>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</si>
  <si>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</si>
  <si>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</si>
  <si>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</si>
  <si>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</si>
  <si>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</si>
  <si>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</si>
  <si>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</si>
  <si>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</si>
  <si>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</si>
  <si>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</si>
  <si>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</si>
  <si>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</si>
  <si>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</si>
  <si>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</si>
  <si>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</si>
  <si>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</si>
  <si>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</si>
  <si>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</si>
  <si>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</si>
  <si>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</si>
  <si>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</si>
  <si>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</si>
  <si>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</si>
  <si>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</si>
  <si>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</si>
  <si>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</si>
  <si>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</si>
  <si>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</si>
  <si>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</si>
  <si>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</si>
  <si>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</si>
  <si>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</si>
  <si>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</si>
  <si>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</si>
  <si>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</si>
  <si>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</si>
  <si>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</si>
  <si>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</si>
  <si>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</si>
  <si>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</si>
  <si>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</si>
  <si>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</si>
  <si>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</si>
  <si>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</si>
  <si>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</si>
  <si>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</si>
  <si>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</si>
  <si>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</si>
  <si>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</si>
  <si>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</si>
  <si>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</si>
  <si>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</si>
  <si>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</si>
  <si>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</si>
  <si>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</si>
  <si>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</si>
  <si>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</si>
  <si>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</si>
  <si>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</si>
  <si>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</si>
  <si>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</si>
  <si>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</si>
  <si>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</si>
  <si>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</si>
  <si>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</si>
  <si>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</si>
  <si>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</si>
  <si>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</si>
  <si>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</si>
  <si>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</si>
  <si>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</si>
  <si>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</si>
  <si>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</si>
  <si>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</si>
  <si>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</si>
  <si>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</si>
  <si>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</si>
  <si>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</si>
  <si>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</si>
  <si>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</si>
  <si>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</si>
  <si>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</si>
  <si>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</si>
  <si>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</si>
  <si>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</si>
  <si>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</si>
  <si>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</si>
  <si>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</si>
  <si>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</si>
  <si>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</si>
  <si>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</si>
  <si>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</si>
  <si>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</si>
  <si>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</si>
  <si>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</si>
  <si>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</si>
  <si>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</si>
  <si>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</si>
  <si>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</si>
  <si>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</si>
  <si>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</si>
  <si>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</si>
  <si>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</si>
  <si>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</si>
  <si>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</si>
  <si>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</si>
  <si>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</si>
  <si>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</si>
  <si>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</si>
  <si>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</si>
  <si>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</si>
  <si>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</si>
  <si>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</si>
  <si>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</si>
  <si>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</si>
  <si>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</si>
  <si>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</si>
  <si>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</si>
  <si>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</si>
  <si>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</si>
  <si>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</si>
  <si>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</si>
  <si>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</si>
  <si>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</si>
  <si>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</si>
  <si>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</si>
  <si>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</si>
  <si>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</si>
  <si>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</si>
  <si>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</si>
  <si>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</si>
  <si>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</si>
  <si>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</si>
  <si>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</si>
  <si>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</si>
  <si>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</si>
  <si>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</si>
  <si>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</si>
  <si>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</si>
  <si>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</si>
  <si>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</si>
  <si>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</si>
  <si>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</si>
  <si>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</si>
  <si>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</si>
  <si>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</si>
  <si>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</si>
  <si>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</si>
  <si>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</si>
  <si>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</si>
  <si>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</si>
  <si>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</si>
  <si>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</si>
  <si>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</si>
  <si>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</si>
  <si>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</si>
  <si>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</si>
  <si>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</si>
  <si>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</si>
  <si>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</si>
  <si>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</si>
  <si>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</si>
  <si>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</si>
  <si>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</si>
  <si>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</si>
  <si>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</si>
  <si>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</si>
  <si>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</si>
  <si>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</si>
  <si>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</si>
  <si>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</si>
  <si>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</si>
  <si>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</si>
  <si>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</si>
  <si>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</si>
  <si>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</si>
  <si>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</si>
  <si>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</si>
  <si>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</si>
  <si>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</si>
  <si>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</si>
  <si>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</si>
  <si>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</si>
  <si>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</si>
  <si>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</si>
  <si>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</si>
  <si>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</si>
  <si>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</si>
  <si>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</si>
  <si>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</si>
  <si>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</si>
  <si>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</si>
  <si>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</si>
  <si>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</si>
  <si>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</si>
  <si>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</si>
  <si>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</si>
  <si>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</si>
  <si>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</si>
  <si>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</si>
  <si>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</si>
  <si>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</si>
  <si>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</si>
  <si>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</si>
  <si>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</si>
  <si>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</si>
  <si>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</si>
  <si>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</si>
  <si>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</si>
  <si>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</si>
  <si>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</si>
  <si>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</si>
  <si>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</si>
  <si>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</si>
  <si>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</si>
  <si>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</si>
  <si>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</si>
  <si>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</si>
  <si>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</si>
  <si>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</si>
  <si>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</si>
  <si>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</si>
  <si>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</si>
  <si>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</si>
  <si>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</si>
  <si>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</si>
  <si>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</si>
  <si>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</si>
  <si>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</si>
  <si>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</si>
  <si>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</si>
  <si>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</si>
  <si>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</si>
  <si>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</si>
  <si>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</si>
  <si>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</si>
  <si>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</si>
  <si>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</si>
  <si>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</si>
  <si>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</si>
  <si>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</si>
  <si>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</si>
  <si>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</si>
  <si>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</si>
  <si>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</si>
  <si>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</si>
  <si>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</si>
  <si>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</si>
  <si>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</si>
  <si>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</si>
  <si>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</si>
  <si>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</si>
  <si>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</si>
  <si>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</si>
  <si>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</si>
  <si>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</si>
  <si>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</si>
  <si>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</si>
  <si>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</si>
  <si>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</si>
  <si>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</si>
  <si>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</si>
  <si>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</si>
  <si>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</si>
  <si>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</si>
  <si>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</si>
  <si>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</si>
  <si>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</si>
  <si>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</si>
  <si>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</si>
  <si>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</si>
  <si>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</si>
  <si>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</si>
  <si>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</si>
  <si>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</si>
  <si>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</si>
  <si>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</si>
  <si>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</si>
  <si>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</si>
  <si>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</si>
  <si>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</si>
  <si>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</si>
  <si>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</si>
  <si>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</si>
  <si>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</si>
  <si>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</si>
  <si>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</si>
  <si>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</si>
  <si>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</si>
  <si>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</si>
  <si>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</si>
  <si>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</si>
  <si>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</si>
  <si>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</si>
  <si>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</si>
  <si>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</si>
  <si>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</si>
  <si>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</si>
  <si>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</si>
  <si>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</si>
  <si>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</si>
  <si>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</si>
  <si>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</si>
  <si>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</si>
  <si>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</si>
  <si>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</si>
  <si>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</si>
  <si>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</si>
  <si>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</si>
  <si>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</si>
  <si>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</si>
  <si>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</si>
  <si>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</si>
  <si>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</si>
  <si>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</si>
  <si>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</si>
  <si>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</si>
  <si>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</si>
  <si>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</si>
  <si>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</si>
  <si>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</si>
  <si>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</si>
  <si>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</si>
  <si>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</si>
  <si>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</si>
  <si>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</si>
  <si>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</si>
  <si>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</si>
  <si>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</si>
  <si>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</si>
  <si>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</si>
  <si>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</si>
  <si>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</si>
  <si>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</si>
  <si>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</si>
  <si>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</si>
  <si>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</si>
  <si>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</si>
  <si>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</si>
  <si>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</si>
  <si>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</si>
  <si>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</si>
  <si>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</si>
  <si>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</si>
  <si>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</si>
  <si>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</si>
  <si>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</si>
  <si>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</si>
  <si>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</si>
  <si>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</si>
  <si>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</si>
  <si>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</si>
  <si>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</si>
  <si>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</si>
  <si>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</si>
  <si>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</si>
  <si>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</si>
  <si>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</si>
  <si>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</si>
  <si>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</si>
  <si>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</si>
  <si>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</si>
  <si>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</si>
  <si>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</si>
  <si>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</si>
  <si>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</si>
  <si>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</si>
  <si>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</si>
  <si>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</si>
  <si>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</si>
  <si>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</si>
  <si>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</si>
  <si>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</si>
  <si>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</si>
  <si>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</si>
  <si>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</si>
  <si>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</si>
  <si>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</si>
  <si>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</si>
  <si>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</si>
  <si>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</si>
  <si>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</si>
  <si>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</si>
  <si>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</si>
  <si>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</si>
  <si>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</si>
  <si>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</si>
  <si>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</si>
  <si>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</si>
  <si>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</si>
  <si>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</si>
  <si>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</si>
  <si>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</si>
  <si>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</si>
  <si>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</si>
  <si>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</si>
  <si>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</si>
  <si>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</si>
  <si>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</si>
  <si>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</si>
  <si>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</si>
  <si>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</si>
  <si>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</si>
  <si>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</si>
  <si>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</si>
  <si>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</si>
  <si>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</si>
  <si>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</si>
  <si>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</si>
  <si>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</si>
  <si>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</si>
  <si>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</si>
  <si>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</si>
  <si>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</si>
  <si>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</si>
  <si>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</si>
  <si>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</si>
  <si>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</si>
  <si>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</si>
  <si>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</si>
  <si>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</si>
  <si>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</si>
  <si>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</si>
  <si>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</si>
  <si>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</si>
  <si>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</si>
  <si>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</si>
  <si>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</si>
  <si>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</si>
  <si>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</si>
  <si>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</si>
  <si>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</si>
  <si>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</si>
  <si>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</si>
  <si>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</si>
  <si>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</si>
  <si>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</si>
  <si>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</si>
  <si>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</si>
  <si>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</si>
  <si>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</si>
  <si>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</si>
  <si>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</si>
  <si>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</si>
  <si>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</si>
  <si>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</si>
  <si>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</si>
  <si>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</si>
  <si>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</si>
  <si>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</si>
  <si>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</si>
  <si>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</si>
  <si>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</si>
  <si>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</si>
  <si>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</si>
  <si>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</si>
  <si>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</si>
  <si>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</si>
  <si>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</si>
  <si>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</si>
  <si>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</si>
  <si>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</si>
  <si>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</si>
  <si>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</si>
  <si>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</si>
  <si>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</si>
  <si>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</si>
  <si>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</si>
  <si>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</si>
  <si>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</si>
  <si>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</si>
  <si>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</si>
  <si>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</si>
  <si>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</si>
  <si>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</si>
  <si>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</si>
  <si>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</si>
  <si>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</si>
  <si>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</si>
  <si>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</si>
  <si>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</si>
  <si>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</si>
  <si>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</si>
  <si>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</si>
  <si>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</si>
  <si>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</si>
  <si>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</si>
  <si>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</si>
  <si>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</si>
  <si>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</si>
  <si>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</si>
  <si>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</si>
  <si>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</si>
  <si>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</si>
  <si>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</si>
  <si>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</si>
  <si>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</si>
  <si>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</si>
  <si>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</si>
  <si>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</si>
  <si>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</si>
  <si>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</si>
  <si>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</si>
  <si>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</si>
  <si>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</si>
  <si>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</si>
  <si>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</si>
  <si>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</si>
  <si>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</si>
  <si>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</si>
  <si>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</si>
  <si>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</si>
  <si>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</si>
  <si>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</si>
  <si>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</si>
  <si>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</si>
  <si>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</si>
  <si>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</si>
  <si>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</si>
  <si>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</si>
  <si>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</si>
  <si>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</si>
  <si>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</si>
  <si>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</si>
  <si>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</si>
  <si>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</si>
  <si>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</si>
  <si>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</si>
  <si>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</si>
  <si>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</si>
  <si>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</si>
  <si>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</si>
  <si>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</si>
  <si>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</si>
  <si>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</si>
  <si>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</si>
  <si>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</si>
  <si>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</si>
  <si>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</si>
  <si>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</si>
  <si>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</si>
  <si>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</si>
  <si>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</si>
  <si>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</si>
  <si>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</si>
  <si>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</si>
  <si>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</si>
  <si>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</si>
  <si>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</si>
  <si>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</si>
  <si>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</si>
  <si>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</si>
  <si>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</si>
  <si>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</si>
  <si>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</si>
  <si>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</si>
  <si>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</si>
  <si>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</si>
  <si>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</si>
  <si>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</si>
  <si>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</si>
  <si>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</si>
  <si>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</si>
  <si>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</si>
  <si>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</si>
  <si>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</si>
  <si>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</si>
  <si>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</si>
  <si>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</si>
  <si>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</si>
  <si>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</si>
  <si>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</si>
  <si>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</si>
  <si>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</si>
  <si>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</si>
  <si>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</si>
  <si>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</si>
  <si>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</si>
  <si>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</si>
  <si>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</si>
  <si>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</si>
  <si>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</si>
  <si>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</si>
  <si>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</si>
  <si>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</si>
  <si>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</si>
  <si>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</si>
  <si>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</si>
  <si>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</si>
  <si>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</si>
  <si>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</si>
  <si>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</si>
  <si>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</si>
  <si>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</si>
  <si>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</si>
  <si>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</si>
  <si>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</si>
  <si>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</si>
  <si>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</si>
  <si>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</si>
  <si>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</si>
  <si>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</si>
  <si>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</si>
  <si>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</si>
  <si>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</si>
  <si>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</si>
  <si>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</si>
  <si>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</si>
  <si>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</si>
  <si>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</si>
  <si>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</si>
  <si>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</si>
  <si>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</si>
  <si>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</si>
  <si>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</si>
  <si>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</si>
  <si>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</si>
  <si>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</si>
  <si>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</si>
  <si>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</si>
  <si>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</si>
  <si>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</si>
  <si>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</si>
  <si>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</si>
  <si>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</si>
  <si>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</si>
  <si>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</si>
  <si>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</si>
  <si>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</si>
  <si>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</si>
  <si>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</si>
  <si>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</si>
  <si>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</si>
  <si>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</si>
  <si>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</si>
  <si>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</si>
  <si>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</si>
  <si>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</si>
  <si>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</si>
  <si>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</si>
  <si>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</si>
  <si>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</si>
  <si>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</si>
  <si>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</si>
  <si>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</si>
  <si>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</si>
  <si>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</si>
  <si>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</si>
  <si>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</si>
  <si>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</si>
  <si>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</si>
  <si>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</si>
  <si>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</si>
  <si>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</si>
  <si>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</si>
  <si>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</si>
  <si>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</si>
  <si>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</si>
  <si>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</si>
  <si>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</si>
  <si>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</si>
  <si>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</si>
  <si>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</si>
  <si>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</si>
  <si>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</si>
  <si>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</si>
  <si>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</si>
  <si>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</si>
  <si>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</si>
  <si>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</si>
  <si>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</si>
  <si>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</si>
  <si>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</si>
  <si>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</si>
  <si>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</si>
  <si>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</si>
  <si>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</si>
  <si>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</si>
  <si>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</si>
  <si>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</si>
  <si>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</si>
  <si>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</si>
  <si>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</si>
  <si>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</si>
  <si>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</si>
  <si>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</si>
  <si>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</si>
  <si>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</si>
  <si>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</si>
  <si>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</si>
  <si>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</si>
  <si>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</si>
  <si>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</si>
  <si>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</si>
  <si>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</si>
  <si>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</si>
  <si>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</si>
  <si>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</si>
  <si>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</si>
  <si>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</si>
  <si>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</si>
  <si>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</si>
  <si>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</si>
  <si>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</si>
  <si>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</si>
  <si>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</si>
  <si>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</si>
  <si>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</si>
  <si>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</si>
  <si>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</si>
  <si>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</si>
  <si>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</si>
  <si>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</si>
  <si>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</si>
  <si>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</si>
  <si>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</si>
  <si>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</si>
  <si>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</si>
  <si>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</si>
  <si>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</si>
  <si>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</si>
  <si>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</si>
  <si>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</si>
  <si>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</si>
  <si>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</si>
  <si>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</si>
  <si>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</si>
  <si>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</si>
  <si>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</si>
  <si>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</si>
  <si>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</si>
  <si>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</si>
  <si>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</si>
  <si>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</si>
  <si>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</si>
  <si>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</si>
  <si>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</si>
  <si>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</si>
  <si>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</si>
  <si>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</si>
  <si>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</si>
  <si>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</si>
  <si>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</si>
  <si>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</si>
  <si>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</si>
  <si>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</si>
  <si>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</si>
  <si>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</si>
  <si>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</si>
  <si>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</si>
  <si>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</si>
  <si>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</si>
  <si>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</si>
  <si>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</si>
  <si>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</si>
  <si>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</si>
  <si>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</si>
  <si>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</si>
  <si>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</si>
  <si>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</si>
  <si>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</si>
  <si>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</si>
  <si>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</si>
  <si>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</si>
  <si>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</si>
  <si>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</si>
  <si>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</si>
  <si>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</si>
  <si>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</si>
  <si>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</si>
  <si>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</si>
  <si>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</si>
  <si>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</si>
  <si>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</si>
  <si>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</si>
  <si>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</si>
  <si>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</si>
  <si>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</si>
  <si>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</si>
  <si>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</si>
  <si>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</si>
  <si>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</si>
  <si>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</si>
  <si>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</si>
  <si>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</si>
  <si>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</si>
  <si>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</si>
  <si>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</si>
  <si>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</si>
  <si>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</si>
  <si>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</si>
  <si>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</si>
  <si>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</si>
  <si>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</si>
  <si>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</si>
  <si>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</si>
  <si>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</si>
  <si>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</si>
  <si>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</si>
  <si>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</si>
  <si>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</si>
  <si>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</si>
  <si>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</si>
  <si>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</si>
  <si>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</si>
  <si>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</si>
  <si>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</si>
  <si>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</si>
  <si>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</si>
  <si>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</si>
  <si>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</si>
  <si>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</si>
  <si>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</si>
  <si>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</si>
  <si>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</si>
  <si>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</si>
  <si>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</si>
  <si>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</si>
  <si>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</si>
  <si>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</si>
  <si>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</si>
  <si>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</si>
  <si>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</si>
  <si>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</si>
  <si>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</si>
  <si>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</si>
  <si>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</si>
  <si>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</si>
  <si>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</si>
  <si>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</si>
  <si>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</si>
  <si>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</si>
  <si>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</si>
  <si>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</si>
  <si>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</si>
  <si>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</si>
  <si>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</si>
  <si>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</si>
  <si>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</si>
  <si>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</si>
  <si>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</si>
  <si>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</si>
  <si>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</si>
  <si>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</si>
  <si>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</si>
  <si>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</si>
  <si>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</si>
  <si>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</si>
  <si>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</si>
  <si>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</si>
  <si>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</si>
  <si>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</si>
  <si>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</si>
  <si>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</si>
  <si>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</si>
  <si>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</si>
  <si>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</si>
  <si>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</si>
  <si>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</si>
  <si>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</si>
  <si>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</si>
  <si>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</si>
  <si>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</si>
  <si>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</si>
  <si>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</si>
  <si>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</si>
  <si>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</si>
  <si>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</si>
  <si>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</si>
  <si>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</si>
  <si>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</si>
  <si>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</si>
  <si>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</si>
  <si>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</si>
  <si>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</si>
  <si>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</si>
  <si>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</si>
  <si>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</si>
  <si>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</si>
  <si>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</si>
  <si>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</si>
  <si>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</si>
  <si>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</si>
  <si>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</si>
  <si>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</si>
  <si>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</si>
  <si>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</si>
  <si>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</si>
  <si>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</si>
  <si>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</si>
  <si>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</si>
  <si>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</si>
  <si>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</si>
  <si>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</si>
  <si>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</si>
  <si>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</si>
  <si>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</si>
  <si>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</si>
  <si>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</si>
  <si>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</si>
  <si>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</si>
  <si>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</si>
  <si>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</si>
  <si>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</si>
  <si>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</si>
  <si>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</si>
  <si>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</si>
  <si>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</si>
  <si>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</si>
  <si>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</si>
  <si>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</si>
  <si>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</si>
  <si>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</si>
  <si>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</si>
  <si>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</si>
  <si>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</si>
  <si>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</si>
  <si>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</si>
  <si>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</si>
  <si>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</si>
  <si>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</si>
  <si>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</si>
  <si>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</si>
  <si>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</si>
  <si>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</si>
  <si>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</si>
  <si>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</si>
  <si>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</si>
  <si>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</si>
  <si>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</si>
  <si>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</si>
  <si>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</si>
  <si>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</si>
  <si>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</si>
  <si>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</si>
  <si>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</si>
  <si>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</si>
  <si>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</si>
  <si>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</si>
  <si>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</si>
  <si>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</si>
  <si>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</si>
  <si>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</si>
  <si>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</si>
  <si>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</si>
  <si>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</si>
  <si>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</si>
  <si>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</si>
  <si>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</si>
  <si>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</si>
  <si>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</si>
  <si>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</si>
  <si>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</si>
  <si>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</si>
  <si>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</si>
  <si>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</si>
  <si>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</si>
  <si>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</si>
  <si>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</si>
  <si>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</si>
  <si>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</si>
  <si>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</si>
  <si>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</si>
  <si>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</si>
  <si>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</si>
  <si>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</si>
  <si>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</si>
  <si>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</si>
  <si>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</si>
  <si>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</si>
  <si>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</si>
  <si>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</si>
  <si>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</si>
  <si>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</si>
  <si>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</si>
  <si>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</si>
  <si>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</si>
  <si>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</si>
  <si>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</si>
  <si>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</si>
  <si>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</si>
  <si>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</si>
  <si>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</si>
  <si>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</si>
  <si>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</si>
  <si>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</si>
  <si>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</si>
  <si>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</si>
  <si>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</si>
  <si>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</si>
  <si>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</si>
  <si>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</si>
  <si>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</si>
  <si>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</si>
  <si>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</si>
  <si>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</si>
  <si>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</si>
  <si>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</si>
  <si>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</si>
  <si>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</si>
  <si>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</si>
  <si>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</si>
  <si>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</si>
  <si>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</si>
  <si>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</si>
  <si>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</si>
  <si>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</si>
  <si>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</si>
  <si>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</si>
  <si>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</si>
  <si>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</si>
  <si>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</si>
  <si>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</si>
  <si>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</si>
  <si>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</si>
  <si>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</si>
  <si>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</si>
  <si>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</si>
  <si>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</si>
  <si>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</si>
  <si>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</si>
  <si>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</si>
  <si>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</si>
  <si>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</si>
  <si>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</si>
  <si>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</si>
  <si>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</si>
  <si>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</si>
  <si>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</si>
  <si>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</si>
  <si>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</si>
  <si>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</si>
  <si>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</si>
  <si>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</si>
  <si>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</si>
  <si>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</si>
  <si>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</si>
  <si>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</si>
  <si>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</si>
  <si>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</si>
  <si>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</si>
  <si>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</si>
  <si>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</si>
  <si>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</si>
  <si>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</si>
  <si>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</si>
  <si>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</si>
  <si>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</si>
  <si>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</si>
  <si>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</si>
  <si>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</si>
  <si>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</si>
  <si>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</si>
  <si>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</si>
  <si>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</si>
  <si>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</si>
  <si>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</si>
  <si>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</si>
  <si>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</si>
  <si>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</si>
  <si>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</si>
  <si>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</si>
  <si>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</si>
  <si>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</si>
  <si>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</si>
  <si>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</si>
  <si>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</si>
  <si>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</si>
  <si>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</si>
  <si>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</si>
  <si>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</si>
  <si>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</si>
  <si>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</si>
  <si>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</si>
  <si>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</si>
  <si>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</si>
  <si>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</si>
  <si>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</si>
  <si>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</si>
  <si>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</si>
  <si>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</si>
  <si>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</si>
  <si>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</si>
  <si>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</si>
  <si>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</si>
  <si>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</si>
  <si>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</si>
  <si>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</si>
  <si>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</si>
  <si>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</si>
  <si>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</si>
  <si>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</si>
  <si>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</si>
  <si>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</si>
  <si>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</si>
  <si>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</si>
  <si>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</si>
  <si>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</si>
  <si>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</si>
  <si>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</si>
  <si>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</si>
  <si>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</si>
  <si>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</si>
  <si>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</si>
  <si>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</si>
  <si>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</si>
  <si>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</si>
  <si>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</si>
  <si>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</si>
  <si>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</si>
  <si>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</si>
  <si>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</si>
  <si>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</si>
  <si>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</si>
  <si>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</si>
  <si>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</si>
  <si>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</si>
  <si>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</si>
  <si>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</si>
  <si>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</si>
  <si>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</si>
  <si>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</si>
  <si>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</si>
  <si>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</si>
  <si>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</si>
  <si>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</si>
  <si>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</si>
  <si>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</si>
  <si>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</si>
  <si>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</si>
  <si>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</si>
  <si>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</si>
  <si>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</si>
  <si>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</si>
  <si>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</si>
  <si>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</si>
  <si>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</si>
  <si>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</si>
  <si>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</si>
  <si>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</si>
  <si>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</si>
  <si>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</si>
  <si>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</si>
  <si>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</si>
  <si>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</si>
  <si>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</si>
  <si>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</si>
  <si>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</si>
  <si>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</si>
  <si>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</si>
  <si>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</si>
  <si>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</si>
  <si>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</si>
  <si>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</si>
  <si>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</si>
  <si>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</si>
  <si>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</si>
  <si>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</si>
  <si>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</si>
  <si>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</si>
  <si>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</si>
  <si>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</si>
  <si>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</si>
  <si>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</si>
  <si>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</si>
  <si>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</si>
  <si>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</si>
  <si>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</si>
  <si>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</si>
  <si>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</si>
  <si>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</si>
  <si>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</si>
  <si>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</si>
  <si>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</si>
  <si>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</si>
  <si>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</si>
  <si>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</si>
  <si>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</si>
  <si>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</si>
  <si>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</si>
  <si>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</si>
  <si>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</si>
  <si>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</si>
  <si>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</si>
  <si>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</si>
  <si>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</si>
  <si>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</si>
  <si>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</si>
  <si>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</si>
  <si>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</si>
  <si>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</si>
  <si>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</si>
  <si>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</si>
  <si>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</si>
  <si>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</si>
  <si>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</si>
  <si>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</si>
  <si>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</si>
  <si>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</si>
  <si>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</si>
  <si>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</si>
  <si>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</si>
  <si>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</si>
  <si>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</si>
  <si>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</si>
  <si>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</si>
  <si>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</si>
  <si>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</si>
  <si>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</si>
  <si>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</si>
  <si>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</si>
  <si>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</si>
  <si>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</si>
  <si>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</si>
  <si>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</si>
  <si>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</si>
  <si>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</si>
  <si>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</si>
  <si>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</si>
  <si>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</si>
  <si>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</si>
  <si>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</si>
  <si>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</si>
  <si>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</si>
  <si>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</si>
  <si>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</si>
  <si>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</si>
  <si>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</si>
  <si>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</si>
  <si>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</si>
  <si>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</si>
  <si>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</si>
  <si>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</si>
  <si>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</si>
  <si>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</si>
  <si>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</si>
  <si>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</si>
  <si>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</si>
  <si>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</si>
  <si>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</si>
  <si>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</si>
  <si>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</si>
  <si>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</si>
  <si>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</si>
  <si>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</si>
  <si>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</si>
  <si>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</si>
  <si>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</si>
  <si>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</si>
  <si>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</si>
  <si>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</si>
  <si>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</si>
  <si>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</si>
  <si>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</si>
  <si>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</si>
  <si>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</si>
  <si>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</si>
  <si>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</si>
  <si>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</si>
  <si>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</si>
  <si>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</si>
  <si>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</si>
  <si>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</si>
  <si>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</si>
  <si>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</si>
  <si>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</si>
  <si>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</si>
  <si>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</si>
  <si>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</si>
  <si>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</si>
  <si>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</si>
  <si>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</si>
  <si>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</si>
  <si>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</si>
  <si>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</si>
  <si>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</si>
  <si>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</si>
  <si>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</si>
  <si>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</si>
  <si>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</si>
  <si>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</si>
  <si>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</si>
  <si>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</si>
  <si>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</si>
  <si>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</si>
  <si>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</si>
  <si>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</si>
  <si>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</si>
  <si>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</si>
  <si>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</si>
  <si>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</si>
  <si>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</si>
  <si>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</si>
  <si>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</si>
  <si>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</si>
  <si>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</si>
  <si>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</si>
  <si>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</si>
  <si>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</si>
  <si>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</si>
  <si>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</si>
  <si>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</si>
  <si>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</si>
  <si>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</si>
  <si>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</si>
  <si>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</si>
  <si>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</si>
  <si>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</si>
  <si>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</si>
  <si>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</si>
  <si>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</si>
  <si>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</si>
  <si>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</si>
  <si>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</si>
  <si>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</si>
  <si>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</si>
  <si>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</si>
  <si>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</si>
  <si>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</si>
  <si>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</si>
  <si>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</si>
  <si>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</si>
  <si>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</si>
  <si>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</si>
  <si>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</si>
  <si>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</si>
  <si>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</si>
  <si>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</si>
  <si>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</si>
  <si>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</si>
  <si>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</si>
  <si>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</si>
  <si>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</si>
  <si>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</si>
  <si>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</si>
  <si>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</si>
  <si>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</si>
  <si>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</si>
  <si>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</si>
  <si>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</si>
  <si>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</si>
  <si>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</si>
  <si>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</si>
  <si>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</si>
  <si>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</si>
  <si>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</si>
  <si>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</si>
  <si>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</si>
  <si>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</si>
  <si>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</si>
  <si>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</si>
  <si>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</si>
  <si>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</si>
  <si>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</si>
  <si>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</si>
  <si>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</si>
  <si>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</si>
  <si>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</si>
  <si>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</si>
  <si>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</si>
  <si>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</si>
  <si>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</si>
  <si>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</si>
  <si>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</si>
  <si>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</si>
  <si>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</si>
  <si>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</si>
  <si>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</si>
  <si>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</si>
  <si>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</si>
  <si>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</si>
  <si>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</si>
  <si>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</si>
  <si>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</si>
  <si>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</si>
  <si>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</si>
  <si>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</si>
  <si>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</si>
  <si>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</si>
  <si>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</si>
  <si>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</si>
  <si>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</si>
  <si>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</si>
  <si>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</si>
  <si>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</si>
  <si>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</si>
  <si>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</si>
  <si>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</si>
  <si>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</si>
  <si>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</si>
  <si>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</si>
  <si>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</si>
  <si>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</si>
  <si>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</si>
  <si>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</si>
  <si>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</si>
  <si>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</si>
  <si>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</si>
  <si>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</si>
  <si>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</si>
  <si>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</si>
  <si>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</si>
  <si>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</si>
  <si>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</si>
  <si>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</si>
  <si>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</si>
  <si>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</si>
  <si>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</si>
  <si>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</si>
  <si>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</si>
  <si>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</si>
  <si>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</si>
  <si>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</si>
  <si>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</si>
  <si>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</si>
  <si>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</si>
  <si>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</si>
  <si>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</si>
  <si>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</si>
  <si>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</si>
  <si>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</si>
  <si>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</si>
  <si>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</si>
  <si>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</si>
  <si>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</si>
  <si>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</si>
  <si>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</si>
  <si>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</si>
  <si>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</si>
  <si>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</si>
  <si>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</si>
  <si>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</si>
  <si>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</si>
  <si>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</si>
  <si>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</si>
  <si>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</si>
  <si>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</si>
  <si>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</si>
  <si>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</si>
  <si>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</si>
  <si>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</si>
  <si>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</si>
  <si>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</si>
  <si>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</si>
  <si>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</si>
  <si>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</si>
  <si>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</si>
  <si>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</si>
  <si>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</si>
  <si>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</si>
  <si>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</si>
  <si>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</si>
  <si>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</si>
  <si>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</si>
  <si>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</si>
  <si>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</si>
  <si>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</si>
  <si>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</si>
  <si>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</si>
  <si>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</si>
  <si>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</si>
  <si>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</si>
  <si>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</si>
  <si>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</si>
  <si>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</si>
  <si>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</si>
  <si>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</si>
  <si>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</si>
  <si>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</si>
  <si>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</si>
  <si>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</si>
  <si>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</si>
  <si>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</si>
  <si>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</si>
  <si>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</si>
  <si>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</si>
  <si>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</si>
  <si>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</si>
  <si>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</si>
  <si>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</si>
  <si>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</si>
  <si>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</si>
  <si>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</si>
  <si>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</si>
  <si>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</si>
  <si>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</si>
  <si>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</si>
  <si>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</si>
  <si>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</si>
  <si>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</si>
  <si>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</si>
  <si>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</si>
  <si>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</si>
  <si>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Command Class</t>
  </si>
  <si>
    <t>Handshake</t>
  </si>
  <si>
    <t>Команды:</t>
  </si>
  <si>
    <t>Подтверждения:</t>
  </si>
  <si>
    <t>номер последней принятой команды</t>
  </si>
  <si>
    <t>пусто</t>
  </si>
  <si>
    <t>номер команды начиная с ConnID</t>
  </si>
  <si>
    <t>следующая команда будет отправлена под номером</t>
  </si>
  <si>
    <t>ожидаю следующую команду под номером</t>
  </si>
  <si>
    <t>00-010101</t>
  </si>
  <si>
    <t>00-010201</t>
  </si>
  <si>
    <t>номер последней принятой команды на этой стороне</t>
  </si>
  <si>
    <t>номер последней принятой команды на другой стороне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</si>
</sst>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0"/>
      <color rgb="FF000000"/>
      <name val="Tahoma"/>
      <family val="2"/>
      <charset val="204"/>
    </font>
    <font>
      <sz val="10"/>
      <color theme="0"/>
      <name val="Courier New"/>
      <family val="1"/>
    </font>
    <font>
      <sz val="9"/>
      <color theme="1"/>
      <name val="Calibri"/>
      <family val="2"/>
      <scheme val="minor"/>
    </font>
    <font>
      <b/>
      <sz val="10"/>
      <color theme="1"/>
      <name val="Calibri (Основной текст)"/>
      <charset val="204"/>
    </font>
    <font>
      <sz val="9"/>
      <color theme="1"/>
      <name val="Calibri"/>
      <family val="2"/>
      <charset val="204"/>
      <scheme val="minor"/>
    </font>
  </fonts>
  <fills count="20">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s>
  <borders count="12">
    <border>
      <left/>
      <right/>
      <top/>
      <bottom/>
      <diagonal/>
    </border>
    <border>
      <left/>
      <right/>
      <top/>
      <bottom style="medium">
        <color indexed="64"/>
      </bottom>
      <diagonal/>
    </border>
    <border>
      <left/>
      <right/>
      <top/>
      <bottom style="double">
        <color indexed="64"/>
      </bottom>
      <diagonal/>
    </border>
    <border>
      <left style="dashed">
        <color theme="2" tint="-0.749992370372631"/>
      </left>
      <right/>
      <top style="dashed">
        <color theme="2" tint="-0.749992370372631"/>
      </top>
      <bottom style="dashed">
        <color theme="2" tint="-0.749992370372631"/>
      </bottom>
      <diagonal/>
    </border>
    <border>
      <left/>
      <right/>
      <top style="dashed">
        <color theme="2" tint="-0.749992370372631"/>
      </top>
      <bottom style="dashed">
        <color theme="2" tint="-0.749992370372631"/>
      </bottom>
      <diagonal/>
    </border>
    <border>
      <left/>
      <right style="dashed">
        <color theme="2" tint="-0.749992370372631"/>
      </right>
      <top style="dashed">
        <color theme="2" tint="-0.749992370372631"/>
      </top>
      <bottom style="dashed">
        <color theme="2" tint="-0.749992370372631"/>
      </bottom>
      <diagonal/>
    </border>
    <border>
      <left/>
      <right/>
      <top/>
      <bottom style="dashed">
        <color theme="2" tint="-0.749992370372631"/>
      </bottom>
      <diagonal/>
    </border>
    <border>
      <left style="dashed">
        <color theme="2" tint="-0.499984740745262"/>
      </left>
      <right/>
      <top/>
      <bottom style="dashed">
        <color theme="2" tint="-0.749992370372631"/>
      </bottom>
      <diagonal/>
    </border>
    <border>
      <left/>
      <right style="dashed">
        <color theme="2" tint="-0.499984740745262"/>
      </right>
      <top/>
      <bottom style="dashed">
        <color theme="2" tint="-0.749992370372631"/>
      </bottom>
      <diagonal/>
    </border>
    <border>
      <left style="dashed">
        <color theme="2" tint="-0.249977111117893"/>
      </left>
      <right/>
      <top/>
      <bottom style="dashed">
        <color theme="2" tint="-0.749992370372631"/>
      </bottom>
      <diagonal/>
    </border>
    <border>
      <left/>
      <right style="dashed">
        <color theme="2" tint="-0.249977111117893"/>
      </right>
      <top/>
      <bottom style="dashed">
        <color theme="2" tint="-0.749992370372631"/>
      </bottom>
      <diagonal/>
    </border>
    <border>
      <left/>
      <right/>
      <top/>
      <bottom style="medium">
        <color theme="2" tint="-0.749992370372631"/>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0" xfId="0" applyAlignment="1">
      <alignment horizontal="right" vertical="top"/>
    </xf>
    <xf numFmtId="0" fontId="2" fillId="0" borderId="0" xfId="0" applyFont="1" applyAlignment="1">
      <alignment horizontal="right" vertical="top"/>
    </xf>
    <xf numFmtId="0" fontId="2" fillId="0" borderId="0" xfId="0" applyFont="1" applyAlignment="1">
      <alignment vertical="top" wrapText="1"/>
    </xf>
    <xf numFmtId="0" fontId="3" fillId="0" borderId="0" xfId="0" applyFont="1" applyFill="1" applyAlignment="1">
      <alignment horizontal="right" vertical="top"/>
    </xf>
    <xf numFmtId="0" fontId="2" fillId="5" borderId="0" xfId="0" applyFont="1" applyFill="1" applyAlignment="1">
      <alignment horizontal="right" vertical="top"/>
    </xf>
    <xf numFmtId="0" fontId="1" fillId="0" borderId="1" xfId="0"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6" borderId="1" xfId="0" applyFont="1" applyFill="1" applyBorder="1" applyAlignment="1">
      <alignment vertical="top"/>
    </xf>
    <xf numFmtId="0" fontId="1" fillId="7" borderId="1" xfId="0" applyFont="1" applyFill="1" applyBorder="1" applyAlignment="1">
      <alignment vertical="top"/>
    </xf>
    <xf numFmtId="0" fontId="2" fillId="2" borderId="0" xfId="0" applyFont="1" applyFill="1" applyAlignment="1">
      <alignment horizontal="right" vertical="top"/>
    </xf>
    <xf numFmtId="0" fontId="2" fillId="7" borderId="0" xfId="0" applyFont="1" applyFill="1" applyAlignment="1">
      <alignment horizontal="right" vertical="top"/>
    </xf>
    <xf numFmtId="0" fontId="2" fillId="0" borderId="0" xfId="0" applyFont="1" applyBorder="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2" fillId="3" borderId="0" xfId="0" applyFont="1" applyFill="1" applyAlignment="1">
      <alignment horizontal="right" vertical="top"/>
    </xf>
    <xf numFmtId="0" fontId="2" fillId="3" borderId="0" xfId="0" applyFont="1" applyFill="1" applyAlignment="1">
      <alignment vertical="top"/>
    </xf>
    <xf numFmtId="0" fontId="2" fillId="4" borderId="0" xfId="0" applyFont="1" applyFill="1" applyAlignment="1">
      <alignment horizontal="right" vertical="top"/>
    </xf>
    <xf numFmtId="0" fontId="0" fillId="11" borderId="0" xfId="0" applyFill="1" applyAlignment="1">
      <alignment horizontal="right" vertical="top"/>
    </xf>
    <xf numFmtId="0" fontId="0" fillId="11" borderId="0" xfId="0" applyFill="1" applyAlignment="1">
      <alignment vertical="top"/>
    </xf>
    <xf numFmtId="0" fontId="2" fillId="11" borderId="0" xfId="0" applyFont="1" applyFill="1" applyAlignment="1">
      <alignment horizontal="right" vertical="top"/>
    </xf>
    <xf numFmtId="0" fontId="2" fillId="8" borderId="0" xfId="0" applyFont="1" applyFill="1" applyAlignment="1">
      <alignment horizontal="right" vertical="top"/>
    </xf>
    <xf numFmtId="0" fontId="0" fillId="12" borderId="0" xfId="0" applyFill="1" applyAlignment="1">
      <alignment horizontal="right" vertical="top"/>
    </xf>
    <xf numFmtId="0" fontId="0" fillId="12" borderId="0" xfId="0" applyFill="1" applyAlignment="1">
      <alignment vertical="top"/>
    </xf>
    <xf numFmtId="0" fontId="2" fillId="12" borderId="0" xfId="0" applyFont="1" applyFill="1" applyAlignment="1">
      <alignment horizontal="right" vertical="top"/>
    </xf>
    <xf numFmtId="0" fontId="0" fillId="10" borderId="0" xfId="0" applyFill="1" applyAlignment="1">
      <alignment horizontal="right" vertical="top"/>
    </xf>
    <xf numFmtId="0" fontId="0" fillId="10" borderId="0" xfId="0" applyFill="1" applyAlignment="1">
      <alignment vertical="top"/>
    </xf>
    <xf numFmtId="0" fontId="2" fillId="10" borderId="0" xfId="0" applyFont="1" applyFill="1" applyAlignment="1">
      <alignment horizontal="right" vertical="top"/>
    </xf>
    <xf numFmtId="0" fontId="2" fillId="13" borderId="0" xfId="0" applyFont="1" applyFill="1" applyAlignment="1">
      <alignment horizontal="right" vertical="top"/>
    </xf>
    <xf numFmtId="0" fontId="2" fillId="14" borderId="0" xfId="0" applyFont="1" applyFill="1" applyAlignment="1">
      <alignment horizontal="right" vertical="top"/>
    </xf>
    <xf numFmtId="0" fontId="2" fillId="15" borderId="0" xfId="0" applyFont="1" applyFill="1" applyAlignment="1">
      <alignment horizontal="right" vertical="top"/>
    </xf>
    <xf numFmtId="0" fontId="0" fillId="0" borderId="0" xfId="0" applyAlignment="1">
      <alignment vertical="top" wrapText="1"/>
    </xf>
    <xf numFmtId="49" fontId="2" fillId="0" borderId="0" xfId="0" applyNumberFormat="1" applyFont="1" applyAlignment="1">
      <alignment vertical="top" wrapText="1"/>
    </xf>
    <xf numFmtId="0" fontId="2" fillId="9" borderId="0" xfId="0" applyFont="1" applyFill="1" applyAlignment="1">
      <alignment horizontal="right" vertical="top"/>
    </xf>
    <xf numFmtId="0" fontId="0" fillId="9" borderId="0" xfId="0" applyFill="1" applyAlignment="1">
      <alignment vertical="top"/>
    </xf>
    <xf numFmtId="0" fontId="2" fillId="16" borderId="0" xfId="0" applyFont="1" applyFill="1" applyAlignment="1">
      <alignment horizontal="right" vertical="top"/>
    </xf>
    <xf numFmtId="0" fontId="2" fillId="18" borderId="0" xfId="0" applyFont="1" applyFill="1" applyAlignment="1">
      <alignment horizontal="right" vertical="top"/>
    </xf>
    <xf numFmtId="0" fontId="6" fillId="19" borderId="0" xfId="0" applyFont="1" applyFill="1" applyAlignment="1">
      <alignment horizontal="right" vertical="top"/>
    </xf>
    <xf numFmtId="0" fontId="6" fillId="17" borderId="0" xfId="0" applyFont="1" applyFill="1" applyAlignment="1">
      <alignment horizontal="right" vertical="top"/>
    </xf>
    <xf numFmtId="0" fontId="2" fillId="0" borderId="0" xfId="0" applyFont="1" applyAlignment="1">
      <alignment vertical="top"/>
    </xf>
    <xf numFmtId="0" fontId="2" fillId="10" borderId="0" xfId="0" applyFont="1" applyFill="1" applyAlignment="1">
      <alignment vertical="top"/>
    </xf>
    <xf numFmtId="0" fontId="2" fillId="12" borderId="0" xfId="0" applyFont="1" applyFill="1" applyAlignment="1">
      <alignment vertical="top"/>
    </xf>
    <xf numFmtId="0" fontId="2" fillId="9" borderId="0" xfId="0" applyFont="1" applyFill="1" applyAlignment="1">
      <alignment vertical="top"/>
    </xf>
    <xf numFmtId="0" fontId="2" fillId="11" borderId="0" xfId="0" applyFont="1" applyFill="1" applyAlignment="1">
      <alignment vertical="top"/>
    </xf>
    <xf numFmtId="0" fontId="0" fillId="9" borderId="0" xfId="0" applyFill="1" applyAlignment="1">
      <alignment horizontal="right" vertical="top"/>
    </xf>
    <xf numFmtId="0" fontId="8" fillId="0" borderId="0" xfId="0" applyFont="1" applyAlignment="1">
      <alignment horizontal="right" vertical="top"/>
    </xf>
    <xf numFmtId="0" fontId="0" fillId="9" borderId="0" xfId="0" applyFont="1" applyFill="1" applyAlignment="1">
      <alignment vertical="top"/>
    </xf>
    <xf numFmtId="0" fontId="0" fillId="10" borderId="2" xfId="0" applyFill="1" applyBorder="1" applyAlignment="1">
      <alignment horizontal="right" vertical="top"/>
    </xf>
    <xf numFmtId="0" fontId="0" fillId="10" borderId="2" xfId="0" applyFill="1" applyBorder="1" applyAlignment="1">
      <alignment vertical="top"/>
    </xf>
    <xf numFmtId="0" fontId="2" fillId="10" borderId="2" xfId="0" applyFont="1" applyFill="1" applyBorder="1" applyAlignment="1">
      <alignment vertical="top"/>
    </xf>
    <xf numFmtId="0" fontId="2" fillId="10" borderId="2" xfId="0" applyFont="1" applyFill="1" applyBorder="1" applyAlignment="1">
      <alignment horizontal="right" vertical="top"/>
    </xf>
    <xf numFmtId="0" fontId="2" fillId="0" borderId="2" xfId="0" applyFont="1" applyFill="1" applyBorder="1" applyAlignment="1">
      <alignment horizontal="right" vertical="top"/>
    </xf>
    <xf numFmtId="0" fontId="2" fillId="0" borderId="2" xfId="0" applyFont="1" applyBorder="1" applyAlignment="1">
      <alignment horizontal="right" vertical="top"/>
    </xf>
    <xf numFmtId="0" fontId="2" fillId="11" borderId="2" xfId="0" applyFont="1" applyFill="1" applyBorder="1" applyAlignment="1">
      <alignment horizontal="right" vertical="top"/>
    </xf>
    <xf numFmtId="0" fontId="7" fillId="0" borderId="0" xfId="0" applyFont="1" applyAlignment="1">
      <alignment vertical="top" wrapText="1"/>
    </xf>
    <xf numFmtId="0" fontId="9" fillId="0" borderId="0" xfId="0" applyFont="1" applyAlignment="1">
      <alignment vertical="top" wrapText="1"/>
    </xf>
    <xf numFmtId="0" fontId="0" fillId="3" borderId="3" xfId="0" applyFill="1" applyBorder="1" applyAlignment="1">
      <alignment horizontal="right" vertical="top"/>
    </xf>
    <xf numFmtId="0" fontId="0" fillId="3" borderId="4" xfId="0" applyFill="1" applyBorder="1" applyAlignment="1">
      <alignment horizontal="right" vertical="top"/>
    </xf>
    <xf numFmtId="0" fontId="0" fillId="3" borderId="4" xfId="0" applyFill="1" applyBorder="1" applyAlignment="1">
      <alignment vertical="top"/>
    </xf>
    <xf numFmtId="0" fontId="2" fillId="3" borderId="4" xfId="0" applyFon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xf>
    <xf numFmtId="0" fontId="0" fillId="0" borderId="6" xfId="0" applyBorder="1" applyAlignment="1">
      <alignment horizontal="right" vertical="top"/>
    </xf>
    <xf numFmtId="0" fontId="0" fillId="0" borderId="6" xfId="0" applyBorder="1" applyAlignment="1">
      <alignment vertical="top"/>
    </xf>
    <xf numFmtId="0" fontId="2" fillId="0" borderId="6" xfId="0" applyFont="1" applyBorder="1" applyAlignment="1">
      <alignment horizontal="right" vertical="top"/>
    </xf>
    <xf numFmtId="0" fontId="2" fillId="0" borderId="6" xfId="0" applyFont="1" applyBorder="1" applyAlignment="1">
      <alignment vertical="top"/>
    </xf>
    <xf numFmtId="0" fontId="0" fillId="2" borderId="7" xfId="0" applyFill="1" applyBorder="1" applyAlignment="1">
      <alignment horizontal="right" vertical="top"/>
    </xf>
    <xf numFmtId="0" fontId="0" fillId="2" borderId="6" xfId="0" applyFill="1" applyBorder="1" applyAlignment="1">
      <alignment horizontal="right" vertical="top"/>
    </xf>
    <xf numFmtId="0" fontId="0" fillId="2" borderId="6" xfId="0" applyFill="1" applyBorder="1" applyAlignment="1">
      <alignment vertical="top"/>
    </xf>
    <xf numFmtId="0" fontId="2" fillId="2" borderId="6" xfId="0" applyFont="1" applyFill="1" applyBorder="1" applyAlignment="1">
      <alignment horizontal="right" vertical="top"/>
    </xf>
    <xf numFmtId="0" fontId="2" fillId="2" borderId="6" xfId="0" applyFont="1" applyFill="1" applyBorder="1" applyAlignment="1">
      <alignment vertical="top"/>
    </xf>
    <xf numFmtId="0" fontId="2" fillId="2" borderId="8" xfId="0" applyFont="1" applyFill="1" applyBorder="1" applyAlignment="1">
      <alignment vertical="top"/>
    </xf>
    <xf numFmtId="0" fontId="0" fillId="0" borderId="9" xfId="0" applyBorder="1" applyAlignment="1">
      <alignment horizontal="right" vertical="top"/>
    </xf>
    <xf numFmtId="0" fontId="2" fillId="0" borderId="10" xfId="0" applyFont="1" applyBorder="1" applyAlignment="1">
      <alignment vertical="top"/>
    </xf>
    <xf numFmtId="0" fontId="0" fillId="2" borderId="9" xfId="0" applyFill="1" applyBorder="1" applyAlignment="1">
      <alignment horizontal="right" vertical="top"/>
    </xf>
    <xf numFmtId="0" fontId="2" fillId="2" borderId="10" xfId="0" applyFont="1" applyFill="1" applyBorder="1" applyAlignment="1">
      <alignment vertical="top"/>
    </xf>
    <xf numFmtId="0" fontId="1" fillId="0" borderId="11" xfId="0" applyFont="1" applyBorder="1" applyAlignment="1">
      <alignment horizontal="right" vertical="top"/>
    </xf>
    <xf numFmtId="0" fontId="1" fillId="0" borderId="11" xfId="0" applyFont="1" applyBorder="1" applyAlignment="1">
      <alignment vertical="top"/>
    </xf>
    <xf numFmtId="0" fontId="1" fillId="0" borderId="11" xfId="0" applyFont="1" applyBorder="1" applyAlignment="1">
      <alignment horizontal="center" vertical="top"/>
    </xf>
    <xf numFmtId="0" fontId="1" fillId="0" borderId="11" xfId="0" applyFont="1" applyBorder="1" applyAlignment="1">
      <alignment horizontal="center" vertical="top" wrapText="1"/>
    </xf>
  </cellXfs>
  <cellStyles count="1">
    <cellStyle name="Обычный" xfId="0" builtinId="0"/>
  </cellStyles>
  <dxfs count="8">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2013 – 2022">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3"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O809"/>
  <sheetViews>
    <sheetView tabSelected="1" topLeftCell="E1" zoomScale="120" zoomScaleNormal="120" workbookViewId="0">
      <pane ySplit="3" topLeftCell="A4" activePane="bottomLeft" state="frozen"/>
      <selection pane="bottomLeft" activeCell="G10" sqref="G10"/>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41" bestFit="1" customWidth="1"/>
    <col min="9" max="13" width="10.5" style="41" customWidth="1"/>
    <col min="14" max="14" width="6.83203125" customWidth="1"/>
    <col min="15" max="21" width="10.83203125" style="1"/>
    <col min="22" max="22" width="124.83203125" style="1" bestFit="1" customWidth="1"/>
    <col min="23" max="23" width="40.5" style="1" customWidth="1"/>
    <col min="24" max="24" width="66.6640625" style="1" customWidth="1"/>
    <col min="25" max="49" width="10.83203125" style="1"/>
    <col min="50" max="50" width="22.6640625" style="1" bestFit="1" customWidth="1"/>
    <col min="51" max="16384" width="10.83203125" style="1"/>
  </cols>
  <sheetData>
    <row r="1" spans="1:41" ht="52" x14ac:dyDescent="0.2">
      <c r="G1" s="47" t="s">
        <v>1790</v>
      </c>
      <c r="H1" s="18" t="s">
        <v>1797</v>
      </c>
      <c r="I1" s="44" t="s">
        <v>1797</v>
      </c>
      <c r="J1" s="56" t="s">
        <v>1794</v>
      </c>
      <c r="K1" s="56" t="s">
        <v>1792</v>
      </c>
      <c r="L1" s="56" t="s">
        <v>1795</v>
      </c>
      <c r="M1" s="56" t="s">
        <v>1796</v>
      </c>
      <c r="Q1" s="57" t="str" cm="1">
        <f t="array" ref="Q1:T2">J1:M2</f>
        <v>номер команды начиная с ConnID</v>
      </c>
      <c r="R1" s="57" t="str">
        <v>номер последней принятой команды</v>
      </c>
      <c r="S1" s="57" t="str">
        <v>следующая команда будет отправлена под номером</v>
      </c>
      <c r="T1" s="57" t="str">
        <v>ожидаю следующую команду под номером</v>
      </c>
    </row>
    <row r="2" spans="1:41" ht="78" x14ac:dyDescent="0.2">
      <c r="G2" s="47" t="s">
        <v>1791</v>
      </c>
      <c r="H2" s="42" t="s">
        <v>1798</v>
      </c>
      <c r="I2" s="43" t="s">
        <v>1798</v>
      </c>
      <c r="J2" s="56" t="s">
        <v>1800</v>
      </c>
      <c r="K2" s="56" t="s">
        <v>1799</v>
      </c>
      <c r="L2" s="56" t="s">
        <v>1793</v>
      </c>
      <c r="M2" s="56" t="s">
        <v>1796</v>
      </c>
      <c r="Q2" s="57" t="str">
        <v>номер последней принятой команды на другой стороне</v>
      </c>
      <c r="R2" s="57" t="str">
        <v>номер последней принятой команды на этой стороне</v>
      </c>
      <c r="S2" s="57" t="str">
        <v>пусто</v>
      </c>
      <c r="T2" s="57" t="str">
        <v>ожидаю следующую команду под номером</v>
      </c>
    </row>
    <row r="3" spans="1:41" ht="18" thickBot="1" x14ac:dyDescent="0.25">
      <c r="A3" s="78" t="s">
        <v>83</v>
      </c>
      <c r="B3" s="78" t="s">
        <v>164</v>
      </c>
      <c r="C3" s="79" t="s">
        <v>84</v>
      </c>
      <c r="D3" s="79" t="s">
        <v>85</v>
      </c>
      <c r="E3" s="79" t="s">
        <v>86</v>
      </c>
      <c r="F3" s="79" t="s">
        <v>87</v>
      </c>
      <c r="G3" s="79" t="s">
        <v>1788</v>
      </c>
      <c r="H3" s="80" t="str">
        <f>O3</f>
        <v>CmdID</v>
      </c>
      <c r="I3" s="80" t="str">
        <f>P3</f>
        <v>ConnID</v>
      </c>
      <c r="J3" s="81" t="str">
        <f>Q3</f>
        <v>Data1</v>
      </c>
      <c r="K3" s="81" t="str">
        <f>R3</f>
        <v>Data2</v>
      </c>
      <c r="L3" s="80" t="str">
        <f>S3</f>
        <v>Data3</v>
      </c>
      <c r="M3" s="80" t="str">
        <f>T3</f>
        <v>Data4</v>
      </c>
      <c r="O3" s="8" t="s">
        <v>88</v>
      </c>
      <c r="P3" s="8" t="s">
        <v>89</v>
      </c>
      <c r="Q3" s="9" t="s">
        <v>157</v>
      </c>
      <c r="R3" s="9" t="s">
        <v>158</v>
      </c>
      <c r="S3" s="8" t="s">
        <v>159</v>
      </c>
      <c r="T3" s="8" t="s">
        <v>161</v>
      </c>
      <c r="U3" s="8" t="s">
        <v>160</v>
      </c>
      <c r="V3" s="7" t="s">
        <v>1756</v>
      </c>
      <c r="W3" s="7" t="s">
        <v>1764</v>
      </c>
      <c r="X3" s="7" t="s">
        <v>1765</v>
      </c>
      <c r="Y3" s="10" t="str">
        <f>P3</f>
        <v>ConnID</v>
      </c>
      <c r="Z3" s="10" t="str">
        <f>Q3</f>
        <v>Data1</v>
      </c>
      <c r="AA3" s="10" t="str">
        <f t="shared" ref="AA3:AD3" si="0">R3</f>
        <v>Data2</v>
      </c>
      <c r="AB3" s="10" t="str">
        <f t="shared" si="0"/>
        <v>Data3</v>
      </c>
      <c r="AC3" s="10" t="str">
        <f t="shared" si="0"/>
        <v>Data4</v>
      </c>
      <c r="AD3" s="10" t="str">
        <f t="shared" si="0"/>
        <v>Tail</v>
      </c>
      <c r="AE3" s="11" t="str">
        <f>Y3</f>
        <v>ConnID</v>
      </c>
      <c r="AF3" s="11" t="str">
        <f>Z3</f>
        <v>Data1</v>
      </c>
      <c r="AG3" s="11" t="str">
        <f>AA3</f>
        <v>Data2</v>
      </c>
      <c r="AH3" s="11" t="str">
        <f>AB3</f>
        <v>Data3</v>
      </c>
      <c r="AI3" s="11" t="str">
        <f>AC3</f>
        <v>Data4</v>
      </c>
      <c r="AJ3" s="11" t="str">
        <f>AD3</f>
        <v>Tail</v>
      </c>
    </row>
    <row r="4" spans="1:41" x14ac:dyDescent="0.2">
      <c r="A4" s="76" t="s">
        <v>0</v>
      </c>
      <c r="B4" s="69">
        <v>2453</v>
      </c>
      <c r="C4" s="70" t="s">
        <v>1</v>
      </c>
      <c r="D4" s="70" t="s">
        <v>2</v>
      </c>
      <c r="E4" s="70" t="s">
        <v>90</v>
      </c>
      <c r="F4" s="70" t="s">
        <v>91</v>
      </c>
      <c r="G4" s="70" t="s">
        <v>1789</v>
      </c>
      <c r="H4" s="71" t="str" cm="1">
        <f t="array" ref="H4">Reverse2_6(O4)</f>
        <v>00-010001</v>
      </c>
      <c r="I4" s="72" cm="1">
        <f t="array" ref="I4">HEX2DEC(Reverse(P4))</f>
        <v>93631153</v>
      </c>
      <c r="J4" s="72" t="str" cm="1">
        <f t="array" ref="J4">IF(Q4&lt;&gt;0, HEX2DEC(Reverse(Q4))-$I4,"")</f>
        <v/>
      </c>
      <c r="K4" s="72" t="str" cm="1">
        <f t="array" ref="K4">IF(R4&lt;&gt;0, HEX2DEC(Reverse(R4))-$I4,"")</f>
        <v/>
      </c>
      <c r="L4" s="72" cm="1">
        <f t="array" ref="L4">IF(S4&lt;&gt;0, HEX2DEC(Reverse(S4))-$I4,"")</f>
        <v>0</v>
      </c>
      <c r="M4" s="77" t="str" cm="1">
        <f t="array" ref="M4">IF(T4&lt;&gt;0, HEX2DEC(Reverse(T4))-$I4,"")</f>
        <v/>
      </c>
      <c r="O4" s="12">
        <v>1000100</v>
      </c>
      <c r="P4" s="12" t="s">
        <v>114</v>
      </c>
      <c r="Q4" s="12">
        <v>0</v>
      </c>
      <c r="R4" s="12">
        <v>0</v>
      </c>
      <c r="S4" s="12" t="s">
        <v>114</v>
      </c>
      <c r="T4" s="12">
        <v>0</v>
      </c>
      <c r="U4" s="12" t="s">
        <v>115</v>
      </c>
      <c r="V4" s="3"/>
      <c r="W4" s="3"/>
      <c r="X4" s="3"/>
      <c r="Y4" s="3" t="str">
        <f>MID(P4,7,2)&amp;MID(P4,5,2)&amp;MID(P4,3,2)&amp;MID(P4,1,2)</f>
        <v>0594b2b1</v>
      </c>
      <c r="Z4" s="3" t="str">
        <f>MID(Q4,7,2)&amp;MID(Q4,5,2)&amp;MID(Q4,3,2)&amp;MID(Q4,1,2)</f>
        <v>0</v>
      </c>
      <c r="AA4" s="3" t="str">
        <f>MID(R4,7,2)&amp;MID(R4,5,2)&amp;MID(R4,3,2)&amp;MID(R4,1,2)</f>
        <v>0</v>
      </c>
      <c r="AB4" s="3" t="str">
        <f>MID(S4,7,2)&amp;MID(S4,5,2)&amp;MID(S4,3,2)&amp;MID(S4,1,2)</f>
        <v>0594b2b1</v>
      </c>
      <c r="AC4" s="3" t="str">
        <f>MID(T4,7,2)&amp;MID(T4,5,2)&amp;MID(T4,3,2)&amp;MID(T4,1,2)</f>
        <v>0</v>
      </c>
      <c r="AD4" s="3" t="str">
        <f>MID(U4,7,2)&amp;MID(U4,5,2)&amp;MID(U4,3,2)&amp;MID(U4,1,2)</f>
        <v>0100fefe</v>
      </c>
      <c r="AE4" s="3">
        <f>HEX2DEC(Y4)</f>
        <v>93631153</v>
      </c>
      <c r="AF4" s="3"/>
      <c r="AG4" s="3"/>
      <c r="AH4" s="3">
        <f t="shared" ref="AH4:AJ4" si="1">HEX2DEC(AB4)</f>
        <v>93631153</v>
      </c>
      <c r="AI4" s="3"/>
      <c r="AJ4" s="3">
        <f t="shared" si="1"/>
        <v>16842494</v>
      </c>
      <c r="AK4" s="1">
        <f>AE4-93631153</f>
        <v>0</v>
      </c>
      <c r="AL4" s="1">
        <f t="shared" ref="AL4:AO4" si="2">AF4-93631153</f>
        <v>-93631153</v>
      </c>
      <c r="AM4" s="1">
        <f t="shared" si="2"/>
        <v>-93631153</v>
      </c>
      <c r="AN4" s="1">
        <f t="shared" si="2"/>
        <v>0</v>
      </c>
      <c r="AO4" s="1">
        <f t="shared" si="2"/>
        <v>-93631153</v>
      </c>
    </row>
    <row r="5" spans="1:41" x14ac:dyDescent="0.2">
      <c r="A5" s="74" t="s">
        <v>3</v>
      </c>
      <c r="B5" s="64">
        <v>2476</v>
      </c>
      <c r="C5" s="65" t="s">
        <v>2</v>
      </c>
      <c r="D5" s="65" t="s">
        <v>1</v>
      </c>
      <c r="E5" s="65" t="s">
        <v>92</v>
      </c>
      <c r="F5" s="65" t="s">
        <v>91</v>
      </c>
      <c r="G5" s="65" t="s">
        <v>1789</v>
      </c>
      <c r="H5" s="66" t="str" cm="1">
        <f t="array" ref="H5">Reverse2_6(O5)</f>
        <v>00-010001</v>
      </c>
      <c r="I5" s="67" cm="1">
        <f t="array" ref="I5">HEX2DEC(Reverse(P5))</f>
        <v>93631153</v>
      </c>
      <c r="J5" s="67" t="str" cm="1">
        <f t="array" ref="J5">IF(Q5&lt;&gt;0, HEX2DEC(Reverse(Q5))-$I5,"")</f>
        <v/>
      </c>
      <c r="K5" s="67" t="str" cm="1">
        <f t="array" ref="K5">IF(R5&lt;&gt;0, HEX2DEC(Reverse(R5))-$I5,"")</f>
        <v/>
      </c>
      <c r="L5" s="67" cm="1">
        <f t="array" ref="L5">IF(S5&lt;&gt;0, HEX2DEC(Reverse(S5))-$I5,"")</f>
        <v>0</v>
      </c>
      <c r="M5" s="75" t="str" cm="1">
        <f t="array" ref="M5">IF(T5&lt;&gt;0, HEX2DEC(Reverse(T5))-$I5,"")</f>
        <v/>
      </c>
      <c r="O5" s="3">
        <v>1000100</v>
      </c>
      <c r="P5" s="3" t="s">
        <v>114</v>
      </c>
      <c r="Q5" s="3">
        <v>0</v>
      </c>
      <c r="R5" s="3">
        <v>0</v>
      </c>
      <c r="S5" s="3" t="s">
        <v>114</v>
      </c>
      <c r="T5" s="3">
        <v>0</v>
      </c>
      <c r="U5" s="3" t="s">
        <v>115</v>
      </c>
      <c r="Y5" s="3" t="str">
        <f>MID(P5,7,2)&amp;MID(P5,5,2)&amp;MID(P5,3,2)&amp;MID(P5,1,2)</f>
        <v>0594b2b1</v>
      </c>
      <c r="Z5" s="3" t="str">
        <f>MID(Q5,7,2)&amp;MID(Q5,5,2)&amp;MID(Q5,3,2)&amp;MID(Q5,1,2)</f>
        <v>0</v>
      </c>
      <c r="AA5" s="3" t="str">
        <f t="shared" ref="AA5:AA12" si="3">MID(R5,7,2)&amp;MID(R5,5,2)&amp;MID(R5,3,2)&amp;MID(R5,1,2)</f>
        <v>0</v>
      </c>
      <c r="AB5" s="3" t="str">
        <f t="shared" ref="AB5:AB12" si="4">MID(S5,7,2)&amp;MID(S5,5,2)&amp;MID(S5,3,2)&amp;MID(S5,1,2)</f>
        <v>0594b2b1</v>
      </c>
      <c r="AC5" s="3" t="str">
        <f t="shared" ref="AC5:AC12" si="5">MID(T5,7,2)&amp;MID(T5,5,2)&amp;MID(T5,3,2)&amp;MID(T5,1,2)</f>
        <v>0</v>
      </c>
      <c r="AD5" s="3" t="str">
        <f t="shared" ref="AD5:AD12" si="6">MID(U5,7,2)&amp;MID(U5,5,2)&amp;MID(U5,3,2)&amp;MID(U5,1,2)</f>
        <v>0100fefe</v>
      </c>
      <c r="AE5" s="3">
        <f t="shared" ref="AE5:AE12" si="7">HEX2DEC(Y5)</f>
        <v>93631153</v>
      </c>
      <c r="AF5" s="3"/>
      <c r="AG5" s="3"/>
      <c r="AH5" s="3">
        <f t="shared" ref="AH5:AH12" si="8">HEX2DEC(AB5)</f>
        <v>93631153</v>
      </c>
      <c r="AI5" s="3"/>
      <c r="AJ5" s="3">
        <f t="shared" ref="AJ5:AJ12" si="9">HEX2DEC(AD5)</f>
        <v>16842494</v>
      </c>
      <c r="AK5" s="1">
        <f t="shared" ref="AK5:AK68" si="10">AE5-93631153</f>
        <v>0</v>
      </c>
      <c r="AL5" s="1">
        <f t="shared" ref="AL5:AL68" si="11">AF5-93631153</f>
        <v>-93631153</v>
      </c>
      <c r="AM5" s="1">
        <f t="shared" ref="AM5:AM68" si="12">AG5-93631153</f>
        <v>-93631153</v>
      </c>
      <c r="AN5" s="1">
        <f t="shared" ref="AN5:AN68" si="13">AH5-93631153</f>
        <v>0</v>
      </c>
      <c r="AO5" s="1">
        <f t="shared" ref="AO5:AO68" si="14">AI5-93631153</f>
        <v>-93631153</v>
      </c>
    </row>
    <row r="6" spans="1:41" x14ac:dyDescent="0.2">
      <c r="A6" s="69" t="s">
        <v>4</v>
      </c>
      <c r="B6" s="69">
        <v>2478</v>
      </c>
      <c r="C6" s="70" t="s">
        <v>1</v>
      </c>
      <c r="D6" s="70" t="s">
        <v>2</v>
      </c>
      <c r="E6" s="70" t="s">
        <v>90</v>
      </c>
      <c r="F6" s="70" t="s">
        <v>91</v>
      </c>
      <c r="G6" s="70" t="s">
        <v>1789</v>
      </c>
      <c r="H6" s="71" t="str" cm="1">
        <f t="array" ref="H6">Reverse2_6(O6)</f>
        <v>00-010001</v>
      </c>
      <c r="I6" s="72" cm="1">
        <f t="array" ref="I6">HEX2DEC(Reverse(P6))</f>
        <v>93631153</v>
      </c>
      <c r="J6" s="72" cm="1">
        <f t="array" ref="J6">IF(Q6&lt;&gt;0, HEX2DEC(Reverse(Q6))-$I6,"")</f>
        <v>-1</v>
      </c>
      <c r="K6" s="72" t="str" cm="1">
        <f t="array" ref="K6">IF(R6&lt;&gt;0, HEX2DEC(Reverse(R6))-$I6,"")</f>
        <v/>
      </c>
      <c r="L6" s="72" cm="1">
        <f t="array" ref="L6">IF(S6&lt;&gt;0, HEX2DEC(Reverse(S6))-$I6,"")</f>
        <v>0</v>
      </c>
      <c r="M6" s="72" cm="1">
        <f t="array" ref="M6">IF(T6&lt;&gt;0, HEX2DEC(Reverse(T6))-$I6,"")</f>
        <v>0</v>
      </c>
      <c r="O6" s="12">
        <v>1000100</v>
      </c>
      <c r="P6" s="12" t="s">
        <v>114</v>
      </c>
      <c r="Q6" s="12" t="s">
        <v>116</v>
      </c>
      <c r="R6" s="12">
        <v>0</v>
      </c>
      <c r="S6" s="12" t="s">
        <v>114</v>
      </c>
      <c r="T6" s="12" t="s">
        <v>114</v>
      </c>
      <c r="U6" s="12" t="s">
        <v>115</v>
      </c>
      <c r="Y6" s="3" t="str">
        <f>MID(P6,7,2)&amp;MID(P6,5,2)&amp;MID(P6,3,2)&amp;MID(P6,1,2)</f>
        <v>0594b2b1</v>
      </c>
      <c r="Z6" s="3" t="str">
        <f>MID(Q6,7,2)&amp;MID(Q6,5,2)&amp;MID(Q6,3,2)&amp;MID(Q6,1,2)</f>
        <v>0594b2b0</v>
      </c>
      <c r="AA6" s="3" t="str">
        <f t="shared" si="3"/>
        <v>0</v>
      </c>
      <c r="AB6" s="3" t="str">
        <f t="shared" si="4"/>
        <v>0594b2b1</v>
      </c>
      <c r="AC6" s="3" t="str">
        <f t="shared" si="5"/>
        <v>0594b2b1</v>
      </c>
      <c r="AD6" s="3" t="str">
        <f t="shared" si="6"/>
        <v>0100fefe</v>
      </c>
      <c r="AE6" s="3">
        <f t="shared" si="7"/>
        <v>93631153</v>
      </c>
      <c r="AF6" s="3">
        <f t="shared" ref="AF6:AF12" si="15">HEX2DEC(Z6)</f>
        <v>93631152</v>
      </c>
      <c r="AG6" s="3"/>
      <c r="AH6" s="3">
        <f t="shared" si="8"/>
        <v>93631153</v>
      </c>
      <c r="AI6" s="3">
        <f t="shared" ref="AI6:AI12" si="16">HEX2DEC(AC6)</f>
        <v>93631153</v>
      </c>
      <c r="AJ6" s="3">
        <f t="shared" si="9"/>
        <v>16842494</v>
      </c>
      <c r="AK6" s="1">
        <f t="shared" si="10"/>
        <v>0</v>
      </c>
      <c r="AL6" s="1">
        <f t="shared" si="11"/>
        <v>-1</v>
      </c>
      <c r="AM6" s="1">
        <f t="shared" si="12"/>
        <v>-93631153</v>
      </c>
      <c r="AN6" s="1">
        <f t="shared" si="13"/>
        <v>0</v>
      </c>
      <c r="AO6" s="1">
        <f t="shared" si="14"/>
        <v>0</v>
      </c>
    </row>
    <row r="7" spans="1:41" x14ac:dyDescent="0.2">
      <c r="A7" s="64" t="s">
        <v>5</v>
      </c>
      <c r="B7" s="64">
        <v>2485</v>
      </c>
      <c r="C7" s="65" t="s">
        <v>2</v>
      </c>
      <c r="D7" s="65" t="s">
        <v>1</v>
      </c>
      <c r="E7" s="65" t="s">
        <v>92</v>
      </c>
      <c r="F7" s="65" t="s">
        <v>91</v>
      </c>
      <c r="G7" s="65" t="s">
        <v>1789</v>
      </c>
      <c r="H7" s="66" t="str" cm="1">
        <f t="array" ref="H7">Reverse2_6(O7)</f>
        <v>00-010001</v>
      </c>
      <c r="I7" s="67" cm="1">
        <f t="array" ref="I7">HEX2DEC(Reverse(P7))</f>
        <v>93631153</v>
      </c>
      <c r="J7" s="67" cm="1">
        <f t="array" ref="J7">IF(Q7&lt;&gt;0, HEX2DEC(Reverse(Q7))-$I7,"")</f>
        <v>-1</v>
      </c>
      <c r="K7" s="67" t="str" cm="1">
        <f t="array" ref="K7">IF(R7&lt;&gt;0, HEX2DEC(Reverse(R7))-$I7,"")</f>
        <v/>
      </c>
      <c r="L7" s="67" cm="1">
        <f t="array" ref="L7">IF(S7&lt;&gt;0, HEX2DEC(Reverse(S7))-$I7,"")</f>
        <v>0</v>
      </c>
      <c r="M7" s="67" cm="1">
        <f t="array" ref="M7">IF(T7&lt;&gt;0, HEX2DEC(Reverse(T7))-$I7,"")</f>
        <v>0</v>
      </c>
      <c r="O7" s="3">
        <v>1000100</v>
      </c>
      <c r="P7" s="3" t="s">
        <v>114</v>
      </c>
      <c r="Q7" s="3" t="s">
        <v>116</v>
      </c>
      <c r="R7" s="3">
        <v>0</v>
      </c>
      <c r="S7" s="3" t="s">
        <v>114</v>
      </c>
      <c r="T7" s="3" t="s">
        <v>114</v>
      </c>
      <c r="U7" s="3" t="s">
        <v>115</v>
      </c>
      <c r="Y7" s="3" t="str">
        <f>MID(P7,7,2)&amp;MID(P7,5,2)&amp;MID(P7,3,2)&amp;MID(P7,1,2)</f>
        <v>0594b2b1</v>
      </c>
      <c r="Z7" s="3" t="str">
        <f>MID(Q7,7,2)&amp;MID(Q7,5,2)&amp;MID(Q7,3,2)&amp;MID(Q7,1,2)</f>
        <v>0594b2b0</v>
      </c>
      <c r="AA7" s="3" t="str">
        <f t="shared" si="3"/>
        <v>0</v>
      </c>
      <c r="AB7" s="3" t="str">
        <f t="shared" si="4"/>
        <v>0594b2b1</v>
      </c>
      <c r="AC7" s="3" t="str">
        <f t="shared" si="5"/>
        <v>0594b2b1</v>
      </c>
      <c r="AD7" s="3" t="str">
        <f t="shared" si="6"/>
        <v>0100fefe</v>
      </c>
      <c r="AE7" s="3">
        <f t="shared" si="7"/>
        <v>93631153</v>
      </c>
      <c r="AF7" s="3">
        <f t="shared" si="15"/>
        <v>93631152</v>
      </c>
      <c r="AG7" s="3"/>
      <c r="AH7" s="3">
        <f t="shared" si="8"/>
        <v>93631153</v>
      </c>
      <c r="AI7" s="3">
        <f t="shared" si="16"/>
        <v>93631153</v>
      </c>
      <c r="AJ7" s="3">
        <f t="shared" si="9"/>
        <v>16842494</v>
      </c>
      <c r="AK7" s="1">
        <f t="shared" si="10"/>
        <v>0</v>
      </c>
      <c r="AL7" s="1">
        <f t="shared" si="11"/>
        <v>-1</v>
      </c>
      <c r="AM7" s="1">
        <f t="shared" si="12"/>
        <v>-93631153</v>
      </c>
      <c r="AN7" s="1">
        <f t="shared" si="13"/>
        <v>0</v>
      </c>
      <c r="AO7" s="1">
        <f t="shared" si="14"/>
        <v>0</v>
      </c>
    </row>
    <row r="8" spans="1:41" x14ac:dyDescent="0.2">
      <c r="A8" s="68" t="s">
        <v>6</v>
      </c>
      <c r="B8" s="69">
        <v>2486</v>
      </c>
      <c r="C8" s="70" t="s">
        <v>1</v>
      </c>
      <c r="D8" s="70" t="s">
        <v>2</v>
      </c>
      <c r="E8" s="70" t="s">
        <v>90</v>
      </c>
      <c r="F8" s="70" t="s">
        <v>91</v>
      </c>
      <c r="G8" s="70" t="s">
        <v>1789</v>
      </c>
      <c r="H8" s="71" t="str" cm="1">
        <f t="array" ref="H8">Reverse2_6(O8)</f>
        <v>00-010001</v>
      </c>
      <c r="I8" s="72" cm="1">
        <f t="array" ref="I8">HEX2DEC(Reverse(P8))</f>
        <v>93631153</v>
      </c>
      <c r="J8" s="72" cm="1">
        <f t="array" ref="J8">IF(Q8&lt;&gt;0, HEX2DEC(Reverse(Q8))-$I8,"")</f>
        <v>-1</v>
      </c>
      <c r="K8" s="72" cm="1">
        <f t="array" ref="K8">IF(R8&lt;&gt;0, HEX2DEC(Reverse(R8))-$I8,"")</f>
        <v>-1</v>
      </c>
      <c r="L8" s="72" cm="1">
        <f t="array" ref="L8">IF(S8&lt;&gt;0, HEX2DEC(Reverse(S8))-$I8,"")</f>
        <v>0</v>
      </c>
      <c r="M8" s="73" cm="1">
        <f t="array" ref="M8">IF(T8&lt;&gt;0, HEX2DEC(Reverse(T8))-$I8,"")</f>
        <v>1</v>
      </c>
      <c r="O8" s="12">
        <v>1000100</v>
      </c>
      <c r="P8" s="12" t="s">
        <v>114</v>
      </c>
      <c r="Q8" s="12" t="s">
        <v>116</v>
      </c>
      <c r="R8" s="12" t="s">
        <v>116</v>
      </c>
      <c r="S8" s="12" t="s">
        <v>114</v>
      </c>
      <c r="T8" s="12" t="s">
        <v>117</v>
      </c>
      <c r="U8" s="12" t="s">
        <v>115</v>
      </c>
      <c r="Y8" s="3" t="str">
        <f>MID(P8,7,2)&amp;MID(P8,5,2)&amp;MID(P8,3,2)&amp;MID(P8,1,2)</f>
        <v>0594b2b1</v>
      </c>
      <c r="Z8" s="3" t="str">
        <f>MID(Q8,7,2)&amp;MID(Q8,5,2)&amp;MID(Q8,3,2)&amp;MID(Q8,1,2)</f>
        <v>0594b2b0</v>
      </c>
      <c r="AA8" s="3" t="str">
        <f t="shared" si="3"/>
        <v>0594b2b0</v>
      </c>
      <c r="AB8" s="3" t="str">
        <f t="shared" si="4"/>
        <v>0594b2b1</v>
      </c>
      <c r="AC8" s="3" t="str">
        <f t="shared" si="5"/>
        <v>0594b2b2</v>
      </c>
      <c r="AD8" s="3" t="str">
        <f t="shared" si="6"/>
        <v>0100fefe</v>
      </c>
      <c r="AE8" s="3">
        <f t="shared" si="7"/>
        <v>93631153</v>
      </c>
      <c r="AF8" s="3">
        <f t="shared" si="15"/>
        <v>93631152</v>
      </c>
      <c r="AG8" s="3">
        <f t="shared" ref="AG8:AG12" si="17">HEX2DEC(AA8)</f>
        <v>93631152</v>
      </c>
      <c r="AH8" s="3">
        <f t="shared" si="8"/>
        <v>93631153</v>
      </c>
      <c r="AI8" s="3">
        <f t="shared" si="16"/>
        <v>93631154</v>
      </c>
      <c r="AJ8" s="3">
        <f t="shared" si="9"/>
        <v>16842494</v>
      </c>
      <c r="AK8" s="1">
        <f t="shared" si="10"/>
        <v>0</v>
      </c>
      <c r="AL8" s="1">
        <f t="shared" si="11"/>
        <v>-1</v>
      </c>
      <c r="AM8" s="1">
        <f t="shared" si="12"/>
        <v>-1</v>
      </c>
      <c r="AN8" s="1">
        <f t="shared" si="13"/>
        <v>0</v>
      </c>
      <c r="AO8" s="1">
        <f t="shared" si="14"/>
        <v>1</v>
      </c>
    </row>
    <row r="9" spans="1:41" x14ac:dyDescent="0.2">
      <c r="A9" s="64" t="s">
        <v>7</v>
      </c>
      <c r="B9" s="64">
        <v>2506</v>
      </c>
      <c r="C9" s="65" t="s">
        <v>2</v>
      </c>
      <c r="D9" s="65" t="s">
        <v>1</v>
      </c>
      <c r="E9" s="65" t="s">
        <v>92</v>
      </c>
      <c r="F9" s="65" t="s">
        <v>91</v>
      </c>
      <c r="G9" s="65" t="s">
        <v>1789</v>
      </c>
      <c r="H9" s="66" t="str" cm="1">
        <f t="array" ref="H9">Reverse2_6(O9)</f>
        <v>00-010001</v>
      </c>
      <c r="I9" s="67" cm="1">
        <f t="array" ref="I9">HEX2DEC(Reverse(P9))</f>
        <v>93631153</v>
      </c>
      <c r="J9" s="67" cm="1">
        <f t="array" ref="J9">IF(Q9&lt;&gt;0, HEX2DEC(Reverse(Q9))-$I9,"")</f>
        <v>-1</v>
      </c>
      <c r="K9" s="67" cm="1">
        <f t="array" ref="K9">IF(R9&lt;&gt;0, HEX2DEC(Reverse(R9))-$I9,"")</f>
        <v>-1</v>
      </c>
      <c r="L9" s="67" cm="1">
        <f t="array" ref="L9">IF(S9&lt;&gt;0, HEX2DEC(Reverse(S9))-$I9,"")</f>
        <v>0</v>
      </c>
      <c r="M9" s="67" cm="1">
        <f t="array" ref="M9">IF(T9&lt;&gt;0, HEX2DEC(Reverse(T9))-$I9,"")</f>
        <v>1</v>
      </c>
      <c r="O9" s="3">
        <v>1000100</v>
      </c>
      <c r="P9" s="3" t="s">
        <v>114</v>
      </c>
      <c r="Q9" s="3" t="s">
        <v>116</v>
      </c>
      <c r="R9" s="14" t="s">
        <v>116</v>
      </c>
      <c r="S9" s="3" t="s">
        <v>114</v>
      </c>
      <c r="T9" s="3" t="s">
        <v>117</v>
      </c>
      <c r="U9" s="3" t="s">
        <v>115</v>
      </c>
      <c r="Y9" s="3" t="str">
        <f>MID(P9,7,2)&amp;MID(P9,5,2)&amp;MID(P9,3,2)&amp;MID(P9,1,2)</f>
        <v>0594b2b1</v>
      </c>
      <c r="Z9" s="3" t="str">
        <f>MID(Q9,7,2)&amp;MID(Q9,5,2)&amp;MID(Q9,3,2)&amp;MID(Q9,1,2)</f>
        <v>0594b2b0</v>
      </c>
      <c r="AA9" s="3" t="str">
        <f t="shared" si="3"/>
        <v>0594b2b0</v>
      </c>
      <c r="AB9" s="3" t="str">
        <f t="shared" si="4"/>
        <v>0594b2b1</v>
      </c>
      <c r="AC9" s="3" t="str">
        <f t="shared" si="5"/>
        <v>0594b2b2</v>
      </c>
      <c r="AD9" s="3" t="str">
        <f t="shared" si="6"/>
        <v>0100fefe</v>
      </c>
      <c r="AE9" s="3">
        <f t="shared" si="7"/>
        <v>93631153</v>
      </c>
      <c r="AF9" s="3">
        <f t="shared" si="15"/>
        <v>93631152</v>
      </c>
      <c r="AG9" s="3">
        <f t="shared" si="17"/>
        <v>93631152</v>
      </c>
      <c r="AH9" s="3">
        <f t="shared" si="8"/>
        <v>93631153</v>
      </c>
      <c r="AI9" s="3">
        <f t="shared" si="16"/>
        <v>93631154</v>
      </c>
      <c r="AJ9" s="3">
        <f t="shared" si="9"/>
        <v>16842494</v>
      </c>
      <c r="AK9" s="1">
        <f t="shared" si="10"/>
        <v>0</v>
      </c>
      <c r="AL9" s="1">
        <f t="shared" si="11"/>
        <v>-1</v>
      </c>
      <c r="AM9" s="1">
        <f t="shared" si="12"/>
        <v>-1</v>
      </c>
      <c r="AN9" s="1">
        <f t="shared" si="13"/>
        <v>0</v>
      </c>
      <c r="AO9" s="1">
        <f t="shared" si="14"/>
        <v>1</v>
      </c>
    </row>
    <row r="10" spans="1:41" x14ac:dyDescent="0.2">
      <c r="A10" s="58" t="s">
        <v>8</v>
      </c>
      <c r="B10" s="59">
        <v>2507</v>
      </c>
      <c r="C10" s="60" t="s">
        <v>2</v>
      </c>
      <c r="D10" s="60" t="s">
        <v>1</v>
      </c>
      <c r="E10" s="60" t="s">
        <v>92</v>
      </c>
      <c r="F10" s="60" t="s">
        <v>93</v>
      </c>
      <c r="G10" s="60" t="s">
        <v>1789</v>
      </c>
      <c r="H10" s="61" t="str" cm="1">
        <f t="array" ref="H10">Reverse2_6(O10)</f>
        <v>00-010101</v>
      </c>
      <c r="I10" s="62" cm="1">
        <f t="array" ref="I10">HEX2DEC(Reverse(P10))</f>
        <v>93631153</v>
      </c>
      <c r="J10" s="62" cm="1">
        <f t="array" ref="J10">IF(Q10&lt;&gt;0, HEX2DEC(Reverse(Q10))-$I10,"")</f>
        <v>0</v>
      </c>
      <c r="K10" s="62" cm="1">
        <f t="array" ref="K10">IF(R10&lt;&gt;0, HEX2DEC(Reverse(R10))-$I10,"")</f>
        <v>-1</v>
      </c>
      <c r="L10" s="62" cm="1">
        <f t="array" ref="L10">IF(S10&lt;&gt;0, HEX2DEC(Reverse(S10))-$I10,"")</f>
        <v>1</v>
      </c>
      <c r="M10" s="63" cm="1">
        <f t="array" ref="M10">IF(T10&lt;&gt;0, HEX2DEC(Reverse(T10))-$I10,"")</f>
        <v>0</v>
      </c>
      <c r="O10" s="17">
        <v>1010100</v>
      </c>
      <c r="P10" s="17" t="s">
        <v>114</v>
      </c>
      <c r="Q10" s="17" t="s">
        <v>114</v>
      </c>
      <c r="R10" s="17" t="s">
        <v>116</v>
      </c>
      <c r="S10" s="17" t="s">
        <v>117</v>
      </c>
      <c r="T10" s="17" t="s">
        <v>114</v>
      </c>
      <c r="U10" s="17">
        <v>68656164</v>
      </c>
      <c r="V10" s="18" t="s">
        <v>1787</v>
      </c>
      <c r="Y10" s="3" t="str">
        <f>MID(P10,7,2)&amp;MID(P10,5,2)&amp;MID(P10,3,2)&amp;MID(P10,1,2)</f>
        <v>0594b2b1</v>
      </c>
      <c r="Z10" s="3" t="str">
        <f>MID(Q10,7,2)&amp;MID(Q10,5,2)&amp;MID(Q10,3,2)&amp;MID(Q10,1,2)</f>
        <v>0594b2b1</v>
      </c>
      <c r="AA10" s="3" t="str">
        <f t="shared" si="3"/>
        <v>0594b2b0</v>
      </c>
      <c r="AB10" s="3" t="str">
        <f t="shared" si="4"/>
        <v>0594b2b2</v>
      </c>
      <c r="AC10" s="3" t="str">
        <f t="shared" si="5"/>
        <v>0594b2b1</v>
      </c>
      <c r="AD10" s="3" t="str">
        <f t="shared" si="6"/>
        <v>64616568</v>
      </c>
      <c r="AE10" s="3">
        <f t="shared" si="7"/>
        <v>93631153</v>
      </c>
      <c r="AF10" s="3">
        <f t="shared" si="15"/>
        <v>93631153</v>
      </c>
      <c r="AG10" s="3">
        <f t="shared" si="17"/>
        <v>93631152</v>
      </c>
      <c r="AH10" s="3">
        <f t="shared" si="8"/>
        <v>93631154</v>
      </c>
      <c r="AI10" s="3">
        <f t="shared" si="16"/>
        <v>93631153</v>
      </c>
      <c r="AJ10" s="3">
        <f t="shared" si="9"/>
        <v>1684104552</v>
      </c>
      <c r="AK10" s="1">
        <f t="shared" si="10"/>
        <v>0</v>
      </c>
      <c r="AL10" s="1">
        <f t="shared" si="11"/>
        <v>0</v>
      </c>
      <c r="AM10" s="1">
        <f t="shared" si="12"/>
        <v>-1</v>
      </c>
      <c r="AN10" s="1">
        <f t="shared" si="13"/>
        <v>1</v>
      </c>
      <c r="AO10" s="1">
        <f t="shared" si="14"/>
        <v>0</v>
      </c>
    </row>
    <row r="11" spans="1:41" ht="17" thickBot="1" x14ac:dyDescent="0.25">
      <c r="A11" s="49" t="s">
        <v>9</v>
      </c>
      <c r="B11" s="49">
        <v>2508</v>
      </c>
      <c r="C11" s="50" t="s">
        <v>1</v>
      </c>
      <c r="D11" s="50" t="s">
        <v>2</v>
      </c>
      <c r="E11" s="50" t="s">
        <v>90</v>
      </c>
      <c r="F11" s="50" t="s">
        <v>94</v>
      </c>
      <c r="G11" s="50" t="s">
        <v>1778</v>
      </c>
      <c r="H11" s="52" t="str" cm="1">
        <f t="array" ref="H11">Reverse2_6(O11)</f>
        <v>00-010201</v>
      </c>
      <c r="I11" s="51" cm="1">
        <f t="array" ref="I11">HEX2DEC(Reverse(P11))</f>
        <v>93631153</v>
      </c>
      <c r="J11" s="51" cm="1">
        <f t="array" ref="J11">IF(Q11&lt;&gt;0, HEX2DEC(Reverse(Q11))-$I11,"")</f>
        <v>-1</v>
      </c>
      <c r="K11" s="51" cm="1">
        <f t="array" ref="K11">IF(R11&lt;&gt;0, HEX2DEC(Reverse(R11))-$I11,"")</f>
        <v>0</v>
      </c>
      <c r="L11" s="51" t="str" cm="1">
        <f t="array" ref="L11">IF(S11&lt;&gt;0, HEX2DEC(Reverse(S11))-$I11,"")</f>
        <v/>
      </c>
      <c r="M11" s="51" cm="1">
        <f t="array" ref="M11">IF(T11&lt;&gt;0, HEX2DEC(Reverse(T11))-$I11,"")</f>
        <v>1</v>
      </c>
      <c r="O11" s="52">
        <v>1020100</v>
      </c>
      <c r="P11" s="52" t="s">
        <v>114</v>
      </c>
      <c r="Q11" s="52" t="s">
        <v>116</v>
      </c>
      <c r="R11" s="52" t="s">
        <v>114</v>
      </c>
      <c r="S11" s="52">
        <v>0</v>
      </c>
      <c r="T11" s="52" t="s">
        <v>117</v>
      </c>
      <c r="U11" s="53"/>
      <c r="Y11" s="3" t="str">
        <f>MID(P11,7,2)&amp;MID(P11,5,2)&amp;MID(P11,3,2)&amp;MID(P11,1,2)</f>
        <v>0594b2b1</v>
      </c>
      <c r="Z11" s="3" t="str">
        <f>MID(Q11,7,2)&amp;MID(Q11,5,2)&amp;MID(Q11,3,2)&amp;MID(Q11,1,2)</f>
        <v>0594b2b0</v>
      </c>
      <c r="AA11" s="3" t="str">
        <f t="shared" si="3"/>
        <v>0594b2b1</v>
      </c>
      <c r="AB11" s="3" t="str">
        <f t="shared" si="4"/>
        <v>0</v>
      </c>
      <c r="AC11" s="3" t="str">
        <f t="shared" si="5"/>
        <v>0594b2b2</v>
      </c>
      <c r="AD11" s="3" t="str">
        <f t="shared" si="6"/>
        <v/>
      </c>
      <c r="AE11" s="3">
        <f t="shared" si="7"/>
        <v>93631153</v>
      </c>
      <c r="AF11" s="3">
        <f t="shared" si="15"/>
        <v>93631152</v>
      </c>
      <c r="AG11" s="3">
        <f t="shared" si="17"/>
        <v>93631153</v>
      </c>
      <c r="AH11" s="3"/>
      <c r="AI11" s="3">
        <f t="shared" si="16"/>
        <v>93631154</v>
      </c>
      <c r="AJ11" s="3"/>
      <c r="AK11" s="1">
        <f t="shared" si="10"/>
        <v>0</v>
      </c>
      <c r="AL11" s="1">
        <f t="shared" si="11"/>
        <v>-1</v>
      </c>
      <c r="AM11" s="1">
        <f t="shared" si="12"/>
        <v>0</v>
      </c>
      <c r="AN11" s="1">
        <f t="shared" si="13"/>
        <v>-93631153</v>
      </c>
      <c r="AO11" s="1">
        <f t="shared" si="14"/>
        <v>1</v>
      </c>
    </row>
    <row r="12" spans="1:41" ht="76" thickTop="1" x14ac:dyDescent="0.2">
      <c r="A12" s="46" t="s">
        <v>10</v>
      </c>
      <c r="B12" s="46">
        <v>2588</v>
      </c>
      <c r="C12" s="36" t="s">
        <v>1</v>
      </c>
      <c r="D12" s="36" t="s">
        <v>2</v>
      </c>
      <c r="E12" s="36" t="s">
        <v>90</v>
      </c>
      <c r="F12" s="36" t="s">
        <v>95</v>
      </c>
      <c r="G12" s="36" t="s">
        <v>163</v>
      </c>
      <c r="H12" s="35" t="str" cm="1">
        <f t="array" ref="H12">Reverse2_6(O12)</f>
        <v>00-010101</v>
      </c>
      <c r="I12" s="44" cm="1">
        <f t="array" ref="I12">HEX2DEC(Reverse(P12))</f>
        <v>93631153</v>
      </c>
      <c r="J12" s="44" cm="1">
        <f t="array" ref="J12">IF(Q12&lt;&gt;0, HEX2DEC(Reverse(Q12))-$I12,"")</f>
        <v>0</v>
      </c>
      <c r="K12" s="44" cm="1">
        <f t="array" ref="K12">IF(R12&lt;&gt;0, HEX2DEC(Reverse(R12))-$I12,"")</f>
        <v>0</v>
      </c>
      <c r="L12" s="44" cm="1">
        <f t="array" ref="L12">IF(S12&lt;&gt;0, HEX2DEC(Reverse(S12))-$I12,"")</f>
        <v>1</v>
      </c>
      <c r="M12" s="44" cm="1">
        <f t="array" ref="M12">IF(T12&lt;&gt;0, HEX2DEC(Reverse(T12))-$I12,"")</f>
        <v>1</v>
      </c>
      <c r="O12" s="5">
        <v>1010100</v>
      </c>
      <c r="P12" s="3" t="s">
        <v>114</v>
      </c>
      <c r="Q12" s="3" t="s">
        <v>114</v>
      </c>
      <c r="R12" s="29" t="s">
        <v>114</v>
      </c>
      <c r="S12" s="3" t="s">
        <v>117</v>
      </c>
      <c r="T12" s="3" t="s">
        <v>117</v>
      </c>
      <c r="U12" s="3"/>
      <c r="V12" s="4" t="s">
        <v>1779</v>
      </c>
      <c r="Y12" s="3" t="str">
        <f>MID(P12,7,2)&amp;MID(P12,5,2)&amp;MID(P12,3,2)&amp;MID(P12,1,2)</f>
        <v>0594b2b1</v>
      </c>
      <c r="Z12" s="3" t="str">
        <f>MID(Q12,7,2)&amp;MID(Q12,5,2)&amp;MID(Q12,3,2)&amp;MID(Q12,1,2)</f>
        <v>0594b2b1</v>
      </c>
      <c r="AA12" s="3" t="str">
        <f t="shared" si="3"/>
        <v>0594b2b1</v>
      </c>
      <c r="AB12" s="3" t="str">
        <f t="shared" si="4"/>
        <v>0594b2b2</v>
      </c>
      <c r="AC12" s="3" t="str">
        <f t="shared" si="5"/>
        <v>0594b2b2</v>
      </c>
      <c r="AD12" s="3" t="str">
        <f t="shared" si="6"/>
        <v/>
      </c>
      <c r="AE12" s="3">
        <f t="shared" si="7"/>
        <v>93631153</v>
      </c>
      <c r="AF12" s="3">
        <f t="shared" si="15"/>
        <v>93631153</v>
      </c>
      <c r="AG12" s="3">
        <f t="shared" si="17"/>
        <v>93631153</v>
      </c>
      <c r="AH12" s="3">
        <f t="shared" si="8"/>
        <v>93631154</v>
      </c>
      <c r="AI12" s="3">
        <f t="shared" si="16"/>
        <v>93631154</v>
      </c>
      <c r="AJ12" s="3">
        <f t="shared" si="9"/>
        <v>0</v>
      </c>
      <c r="AK12" s="1">
        <f t="shared" si="10"/>
        <v>0</v>
      </c>
      <c r="AL12" s="1">
        <f t="shared" si="11"/>
        <v>0</v>
      </c>
      <c r="AM12" s="1">
        <f t="shared" si="12"/>
        <v>0</v>
      </c>
      <c r="AN12" s="1">
        <f t="shared" si="13"/>
        <v>1</v>
      </c>
      <c r="AO12" s="1">
        <f t="shared" si="14"/>
        <v>1</v>
      </c>
    </row>
    <row r="13" spans="1:41" x14ac:dyDescent="0.2">
      <c r="A13" s="24" t="s">
        <v>11</v>
      </c>
      <c r="B13" s="24">
        <v>2612</v>
      </c>
      <c r="C13" s="25" t="s">
        <v>2</v>
      </c>
      <c r="D13" s="25" t="s">
        <v>1</v>
      </c>
      <c r="E13" s="25" t="s">
        <v>92</v>
      </c>
      <c r="F13" s="25" t="s">
        <v>94</v>
      </c>
      <c r="G13" s="25" t="s">
        <v>1777</v>
      </c>
      <c r="H13" s="26" t="str" cm="1">
        <f t="array" ref="H13">Reverse2_6(O13)</f>
        <v>00-010201</v>
      </c>
      <c r="I13" s="43" cm="1">
        <f t="array" ref="I13">HEX2DEC(Reverse(P13))</f>
        <v>93631153</v>
      </c>
      <c r="J13" s="43" cm="1">
        <f t="array" ref="J13">IF(Q13&lt;&gt;0, HEX2DEC(Reverse(Q13))-$I13,"")</f>
        <v>0</v>
      </c>
      <c r="K13" s="43" cm="1">
        <f t="array" ref="K13">IF(R13&lt;&gt;0, HEX2DEC(Reverse(R13))-$I13,"")</f>
        <v>0</v>
      </c>
      <c r="L13" s="43" t="str" cm="1">
        <f t="array" ref="L13">IF(S13&lt;&gt;0, HEX2DEC(Reverse(S13))-$I13,"")</f>
        <v/>
      </c>
      <c r="M13" s="43" cm="1">
        <f t="array" ref="M13">IF(T13&lt;&gt;0, HEX2DEC(Reverse(T13))-$I13,"")</f>
        <v>1</v>
      </c>
      <c r="O13" s="26">
        <v>1020100</v>
      </c>
      <c r="P13" s="26" t="s">
        <v>114</v>
      </c>
      <c r="Q13" s="26" t="s">
        <v>114</v>
      </c>
      <c r="R13" s="26" t="s">
        <v>114</v>
      </c>
      <c r="S13" s="26">
        <v>0</v>
      </c>
      <c r="T13" s="26" t="s">
        <v>117</v>
      </c>
      <c r="U13" s="3"/>
      <c r="Y13" s="3" t="str">
        <f>MID(P13,7,2)&amp;MID(P13,5,2)&amp;MID(P13,3,2)&amp;MID(P13,1,2)</f>
        <v>0594b2b1</v>
      </c>
      <c r="Z13" s="3" t="str">
        <f>MID(Q13,7,2)&amp;MID(Q13,5,2)&amp;MID(Q13,3,2)&amp;MID(Q13,1,2)</f>
        <v>0594b2b1</v>
      </c>
      <c r="AA13" s="3" t="str">
        <f t="shared" ref="AA13:AA76" si="18">MID(R13,7,2)&amp;MID(R13,5,2)&amp;MID(R13,3,2)&amp;MID(R13,1,2)</f>
        <v>0594b2b1</v>
      </c>
      <c r="AB13" s="3" t="str">
        <f t="shared" ref="AB13:AB76" si="19">MID(S13,7,2)&amp;MID(S13,5,2)&amp;MID(S13,3,2)&amp;MID(S13,1,2)</f>
        <v>0</v>
      </c>
      <c r="AC13" s="3" t="str">
        <f t="shared" ref="AC13:AC76" si="20">MID(T13,7,2)&amp;MID(T13,5,2)&amp;MID(T13,3,2)&amp;MID(T13,1,2)</f>
        <v>0594b2b2</v>
      </c>
      <c r="AD13" s="3" t="str">
        <f t="shared" ref="AD13:AD76" si="21">MID(U13,7,2)&amp;MID(U13,5,2)&amp;MID(U13,3,2)&amp;MID(U13,1,2)</f>
        <v/>
      </c>
      <c r="AE13" s="3">
        <f t="shared" ref="AE13:AE76" si="22">HEX2DEC(Y13)</f>
        <v>93631153</v>
      </c>
      <c r="AF13" s="3">
        <f t="shared" ref="AF13:AF76" si="23">HEX2DEC(Z13)</f>
        <v>93631153</v>
      </c>
      <c r="AG13" s="3">
        <f t="shared" ref="AG13:AG76" si="24">HEX2DEC(AA13)</f>
        <v>93631153</v>
      </c>
      <c r="AH13" s="3">
        <f t="shared" ref="AH13:AH76" si="25">HEX2DEC(AB13)</f>
        <v>0</v>
      </c>
      <c r="AI13" s="3">
        <f t="shared" ref="AI13:AI76" si="26">HEX2DEC(AC13)</f>
        <v>93631154</v>
      </c>
      <c r="AJ13" s="3">
        <f t="shared" ref="AJ13:AJ76" si="27">HEX2DEC(AD13)</f>
        <v>0</v>
      </c>
      <c r="AK13" s="1">
        <f t="shared" si="10"/>
        <v>0</v>
      </c>
      <c r="AL13" s="1">
        <f t="shared" si="11"/>
        <v>0</v>
      </c>
      <c r="AM13" s="1">
        <f t="shared" si="12"/>
        <v>0</v>
      </c>
      <c r="AN13" s="1">
        <f t="shared" si="13"/>
        <v>-93631153</v>
      </c>
      <c r="AO13" s="1">
        <f t="shared" si="14"/>
        <v>1</v>
      </c>
    </row>
    <row r="14" spans="1:41" x14ac:dyDescent="0.2">
      <c r="A14" s="16" t="s">
        <v>12</v>
      </c>
      <c r="B14" s="16">
        <v>2627</v>
      </c>
      <c r="C14" s="15" t="s">
        <v>2</v>
      </c>
      <c r="D14" s="15" t="s">
        <v>1</v>
      </c>
      <c r="E14" s="15" t="s">
        <v>92</v>
      </c>
      <c r="F14" s="15" t="s">
        <v>96</v>
      </c>
      <c r="G14" s="15" t="s">
        <v>165</v>
      </c>
      <c r="H14" s="17" t="str" cm="1">
        <f t="array" ref="H14">Reverse2_6(O14)</f>
        <v>00-010101</v>
      </c>
      <c r="I14" s="18" cm="1">
        <f t="array" ref="I14">HEX2DEC(Reverse(P14))</f>
        <v>93631153</v>
      </c>
      <c r="J14" s="18" cm="1">
        <f t="array" ref="J14">IF(Q14&lt;&gt;0, HEX2DEC(Reverse(Q14))-$I14,"")</f>
        <v>1</v>
      </c>
      <c r="K14" s="18" cm="1">
        <f t="array" ref="K14">IF(R14&lt;&gt;0, HEX2DEC(Reverse(R14))-$I14,"")</f>
        <v>0</v>
      </c>
      <c r="L14" s="18" cm="1">
        <f t="array" ref="L14">IF(S14&lt;&gt;0, HEX2DEC(Reverse(S14))-$I14,"")</f>
        <v>2</v>
      </c>
      <c r="M14" s="18" cm="1">
        <f t="array" ref="M14">IF(T14&lt;&gt;0, HEX2DEC(Reverse(T14))-$I14,"")</f>
        <v>1</v>
      </c>
      <c r="O14" s="3">
        <v>1010100</v>
      </c>
      <c r="P14" s="3" t="s">
        <v>114</v>
      </c>
      <c r="Q14" s="3" t="s">
        <v>117</v>
      </c>
      <c r="R14" s="26" t="s">
        <v>114</v>
      </c>
      <c r="S14" s="3" t="s">
        <v>118</v>
      </c>
      <c r="T14" s="3" t="s">
        <v>117</v>
      </c>
      <c r="U14" s="3"/>
      <c r="V14" s="1" t="s">
        <v>1780</v>
      </c>
      <c r="Y14" s="3" t="str">
        <f>MID(P14,7,2)&amp;MID(P14,5,2)&amp;MID(P14,3,2)&amp;MID(P14,1,2)</f>
        <v>0594b2b1</v>
      </c>
      <c r="Z14" s="3" t="str">
        <f>MID(Q14,7,2)&amp;MID(Q14,5,2)&amp;MID(Q14,3,2)&amp;MID(Q14,1,2)</f>
        <v>0594b2b2</v>
      </c>
      <c r="AA14" s="3" t="str">
        <f t="shared" si="18"/>
        <v>0594b2b1</v>
      </c>
      <c r="AB14" s="3" t="str">
        <f t="shared" si="19"/>
        <v>0594b2b3</v>
      </c>
      <c r="AC14" s="3" t="str">
        <f t="shared" si="20"/>
        <v>0594b2b2</v>
      </c>
      <c r="AD14" s="3" t="str">
        <f t="shared" si="21"/>
        <v/>
      </c>
      <c r="AE14" s="3">
        <f t="shared" si="22"/>
        <v>93631153</v>
      </c>
      <c r="AF14" s="3">
        <f t="shared" si="23"/>
        <v>93631154</v>
      </c>
      <c r="AG14" s="3">
        <f t="shared" si="24"/>
        <v>93631153</v>
      </c>
      <c r="AH14" s="3">
        <f t="shared" si="25"/>
        <v>93631155</v>
      </c>
      <c r="AI14" s="3">
        <f t="shared" si="26"/>
        <v>93631154</v>
      </c>
      <c r="AJ14" s="3">
        <f t="shared" si="27"/>
        <v>0</v>
      </c>
      <c r="AK14" s="1">
        <f t="shared" si="10"/>
        <v>0</v>
      </c>
      <c r="AL14" s="1">
        <f t="shared" si="11"/>
        <v>1</v>
      </c>
      <c r="AM14" s="1">
        <f t="shared" si="12"/>
        <v>0</v>
      </c>
      <c r="AN14" s="1">
        <f t="shared" si="13"/>
        <v>2</v>
      </c>
      <c r="AO14" s="1">
        <f t="shared" si="14"/>
        <v>1</v>
      </c>
    </row>
    <row r="15" spans="1:41" x14ac:dyDescent="0.2">
      <c r="A15" s="16" t="s">
        <v>13</v>
      </c>
      <c r="B15" s="16">
        <v>2628</v>
      </c>
      <c r="C15" s="15" t="s">
        <v>2</v>
      </c>
      <c r="D15" s="15" t="s">
        <v>1</v>
      </c>
      <c r="E15" s="15" t="s">
        <v>92</v>
      </c>
      <c r="F15" s="15" t="s">
        <v>97</v>
      </c>
      <c r="G15" s="15" t="s">
        <v>165</v>
      </c>
      <c r="H15" s="17" t="str" cm="1">
        <f t="array" ref="H15">Reverse2_6(O15)</f>
        <v>00-010101</v>
      </c>
      <c r="I15" s="18" cm="1">
        <f t="array" ref="I15">HEX2DEC(Reverse(P15))</f>
        <v>93631153</v>
      </c>
      <c r="J15" s="18" cm="1">
        <f t="array" ref="J15">IF(Q15&lt;&gt;0, HEX2DEC(Reverse(Q15))-$I15,"")</f>
        <v>2</v>
      </c>
      <c r="K15" s="18" cm="1">
        <f t="array" ref="K15">IF(R15&lt;&gt;0, HEX2DEC(Reverse(R15))-$I15,"")</f>
        <v>0</v>
      </c>
      <c r="L15" s="18" cm="1">
        <f t="array" ref="L15">IF(S15&lt;&gt;0, HEX2DEC(Reverse(S15))-$I15,"")</f>
        <v>3</v>
      </c>
      <c r="M15" s="18" cm="1">
        <f t="array" ref="M15">IF(T15&lt;&gt;0, HEX2DEC(Reverse(T15))-$I15,"")</f>
        <v>1</v>
      </c>
      <c r="O15" s="3">
        <v>1010100</v>
      </c>
      <c r="P15" s="3" t="s">
        <v>114</v>
      </c>
      <c r="Q15" s="3" t="s">
        <v>118</v>
      </c>
      <c r="R15" s="26" t="s">
        <v>114</v>
      </c>
      <c r="S15" s="3" t="s">
        <v>119</v>
      </c>
      <c r="T15" s="3" t="s">
        <v>117</v>
      </c>
      <c r="U15" s="3"/>
      <c r="V15" s="1" t="s">
        <v>120</v>
      </c>
      <c r="Y15" s="3" t="str">
        <f>MID(P15,7,2)&amp;MID(P15,5,2)&amp;MID(P15,3,2)&amp;MID(P15,1,2)</f>
        <v>0594b2b1</v>
      </c>
      <c r="Z15" s="3" t="str">
        <f>MID(Q15,7,2)&amp;MID(Q15,5,2)&amp;MID(Q15,3,2)&amp;MID(Q15,1,2)</f>
        <v>0594b2b3</v>
      </c>
      <c r="AA15" s="3" t="str">
        <f t="shared" si="18"/>
        <v>0594b2b1</v>
      </c>
      <c r="AB15" s="3" t="str">
        <f t="shared" si="19"/>
        <v>0594b2b4</v>
      </c>
      <c r="AC15" s="3" t="str">
        <f t="shared" si="20"/>
        <v>0594b2b2</v>
      </c>
      <c r="AD15" s="3" t="str">
        <f t="shared" si="21"/>
        <v/>
      </c>
      <c r="AE15" s="3">
        <f t="shared" si="22"/>
        <v>93631153</v>
      </c>
      <c r="AF15" s="3">
        <f t="shared" si="23"/>
        <v>93631155</v>
      </c>
      <c r="AG15" s="3">
        <f t="shared" si="24"/>
        <v>93631153</v>
      </c>
      <c r="AH15" s="3">
        <f t="shared" si="25"/>
        <v>93631156</v>
      </c>
      <c r="AI15" s="3">
        <f t="shared" si="26"/>
        <v>93631154</v>
      </c>
      <c r="AJ15" s="3">
        <f t="shared" si="27"/>
        <v>0</v>
      </c>
      <c r="AK15" s="1">
        <f t="shared" si="10"/>
        <v>0</v>
      </c>
      <c r="AL15" s="1">
        <f t="shared" si="11"/>
        <v>2</v>
      </c>
      <c r="AM15" s="1">
        <f t="shared" si="12"/>
        <v>0</v>
      </c>
      <c r="AN15" s="1">
        <f t="shared" si="13"/>
        <v>3</v>
      </c>
      <c r="AO15" s="1">
        <f t="shared" si="14"/>
        <v>1</v>
      </c>
    </row>
    <row r="16" spans="1:41" x14ac:dyDescent="0.2">
      <c r="A16" s="27" t="s">
        <v>14</v>
      </c>
      <c r="B16" s="27">
        <v>2629</v>
      </c>
      <c r="C16" s="28" t="s">
        <v>1</v>
      </c>
      <c r="D16" s="28" t="s">
        <v>2</v>
      </c>
      <c r="E16" s="28" t="s">
        <v>90</v>
      </c>
      <c r="F16" s="28" t="s">
        <v>94</v>
      </c>
      <c r="G16" s="28" t="s">
        <v>1778</v>
      </c>
      <c r="H16" s="29" t="str" cm="1">
        <f t="array" ref="H16">Reverse2_6(O16)</f>
        <v>00-010201</v>
      </c>
      <c r="I16" s="42" cm="1">
        <f t="array" ref="I16">HEX2DEC(Reverse(P16))</f>
        <v>93631153</v>
      </c>
      <c r="J16" s="42" cm="1">
        <f t="array" ref="J16">IF(Q16&lt;&gt;0, HEX2DEC(Reverse(Q16))-$I16,"")</f>
        <v>0</v>
      </c>
      <c r="K16" s="42" cm="1">
        <f t="array" ref="K16">IF(R16&lt;&gt;0, HEX2DEC(Reverse(R16))-$I16,"")</f>
        <v>1</v>
      </c>
      <c r="L16" s="42" t="str" cm="1">
        <f t="array" ref="L16">IF(S16&lt;&gt;0, HEX2DEC(Reverse(S16))-$I16,"")</f>
        <v/>
      </c>
      <c r="M16" s="42" cm="1">
        <f t="array" ref="M16">IF(T16&lt;&gt;0, HEX2DEC(Reverse(T16))-$I16,"")</f>
        <v>2</v>
      </c>
      <c r="O16" s="29">
        <v>1020100</v>
      </c>
      <c r="P16" s="29" t="s">
        <v>114</v>
      </c>
      <c r="Q16" s="26" t="s">
        <v>114</v>
      </c>
      <c r="R16" s="29" t="s">
        <v>117</v>
      </c>
      <c r="S16" s="29">
        <v>0</v>
      </c>
      <c r="T16" s="29" t="s">
        <v>118</v>
      </c>
      <c r="U16" s="3"/>
      <c r="Y16" s="3" t="str">
        <f>MID(P16,7,2)&amp;MID(P16,5,2)&amp;MID(P16,3,2)&amp;MID(P16,1,2)</f>
        <v>0594b2b1</v>
      </c>
      <c r="Z16" s="3" t="str">
        <f>MID(Q16,7,2)&amp;MID(Q16,5,2)&amp;MID(Q16,3,2)&amp;MID(Q16,1,2)</f>
        <v>0594b2b1</v>
      </c>
      <c r="AA16" s="3" t="str">
        <f t="shared" si="18"/>
        <v>0594b2b2</v>
      </c>
      <c r="AB16" s="3" t="str">
        <f t="shared" si="19"/>
        <v>0</v>
      </c>
      <c r="AC16" s="3" t="str">
        <f t="shared" si="20"/>
        <v>0594b2b3</v>
      </c>
      <c r="AD16" s="3" t="str">
        <f t="shared" si="21"/>
        <v/>
      </c>
      <c r="AE16" s="3">
        <f t="shared" si="22"/>
        <v>93631153</v>
      </c>
      <c r="AF16" s="3">
        <f t="shared" si="23"/>
        <v>93631153</v>
      </c>
      <c r="AG16" s="3">
        <f t="shared" si="24"/>
        <v>93631154</v>
      </c>
      <c r="AH16" s="3">
        <f t="shared" si="25"/>
        <v>0</v>
      </c>
      <c r="AI16" s="3">
        <f t="shared" si="26"/>
        <v>93631155</v>
      </c>
      <c r="AJ16" s="3">
        <f t="shared" si="27"/>
        <v>0</v>
      </c>
      <c r="AK16" s="1">
        <f t="shared" si="10"/>
        <v>0</v>
      </c>
      <c r="AL16" s="1">
        <f t="shared" si="11"/>
        <v>0</v>
      </c>
      <c r="AM16" s="1">
        <f t="shared" si="12"/>
        <v>1</v>
      </c>
      <c r="AN16" s="1">
        <f t="shared" si="13"/>
        <v>-93631153</v>
      </c>
      <c r="AO16" s="1">
        <f t="shared" si="14"/>
        <v>2</v>
      </c>
    </row>
    <row r="17" spans="1:41" ht="17" thickBot="1" x14ac:dyDescent="0.25">
      <c r="A17" s="49" t="s">
        <v>15</v>
      </c>
      <c r="B17" s="49">
        <v>2630</v>
      </c>
      <c r="C17" s="50" t="s">
        <v>1</v>
      </c>
      <c r="D17" s="50" t="s">
        <v>2</v>
      </c>
      <c r="E17" s="50" t="s">
        <v>90</v>
      </c>
      <c r="F17" s="50" t="s">
        <v>94</v>
      </c>
      <c r="G17" s="50" t="s">
        <v>1778</v>
      </c>
      <c r="H17" s="52" t="str" cm="1">
        <f t="array" ref="H17">Reverse2_6(O17)</f>
        <v>00-010201</v>
      </c>
      <c r="I17" s="51" cm="1">
        <f t="array" ref="I17">HEX2DEC(Reverse(P17))</f>
        <v>93631153</v>
      </c>
      <c r="J17" s="51" cm="1">
        <f t="array" ref="J17">IF(Q17&lt;&gt;0, HEX2DEC(Reverse(Q17))-$I17,"")</f>
        <v>0</v>
      </c>
      <c r="K17" s="51" cm="1">
        <f t="array" ref="K17">IF(R17&lt;&gt;0, HEX2DEC(Reverse(R17))-$I17,"")</f>
        <v>2</v>
      </c>
      <c r="L17" s="51" t="str" cm="1">
        <f t="array" ref="L17">IF(S17&lt;&gt;0, HEX2DEC(Reverse(S17))-$I17,"")</f>
        <v/>
      </c>
      <c r="M17" s="51" cm="1">
        <f t="array" ref="M17">IF(T17&lt;&gt;0, HEX2DEC(Reverse(T17))-$I17,"")</f>
        <v>3</v>
      </c>
      <c r="O17" s="52">
        <v>1020100</v>
      </c>
      <c r="P17" s="52" t="s">
        <v>114</v>
      </c>
      <c r="Q17" s="52" t="s">
        <v>114</v>
      </c>
      <c r="R17" s="52" t="s">
        <v>118</v>
      </c>
      <c r="S17" s="52">
        <v>0</v>
      </c>
      <c r="T17" s="52" t="s">
        <v>119</v>
      </c>
      <c r="U17" s="54"/>
      <c r="Y17" s="3" t="str">
        <f>MID(P17,7,2)&amp;MID(P17,5,2)&amp;MID(P17,3,2)&amp;MID(P17,1,2)</f>
        <v>0594b2b1</v>
      </c>
      <c r="Z17" s="3" t="str">
        <f>MID(Q17,7,2)&amp;MID(Q17,5,2)&amp;MID(Q17,3,2)&amp;MID(Q17,1,2)</f>
        <v>0594b2b1</v>
      </c>
      <c r="AA17" s="3" t="str">
        <f t="shared" si="18"/>
        <v>0594b2b3</v>
      </c>
      <c r="AB17" s="3" t="str">
        <f t="shared" si="19"/>
        <v>0</v>
      </c>
      <c r="AC17" s="3" t="str">
        <f t="shared" si="20"/>
        <v>0594b2b4</v>
      </c>
      <c r="AD17" s="3" t="str">
        <f t="shared" si="21"/>
        <v/>
      </c>
      <c r="AE17" s="3">
        <f t="shared" si="22"/>
        <v>93631153</v>
      </c>
      <c r="AF17" s="3">
        <f t="shared" si="23"/>
        <v>93631153</v>
      </c>
      <c r="AG17" s="3">
        <f t="shared" si="24"/>
        <v>93631155</v>
      </c>
      <c r="AH17" s="3">
        <f t="shared" si="25"/>
        <v>0</v>
      </c>
      <c r="AI17" s="3">
        <f t="shared" si="26"/>
        <v>93631156</v>
      </c>
      <c r="AJ17" s="3">
        <f t="shared" si="27"/>
        <v>0</v>
      </c>
      <c r="AK17" s="1">
        <f t="shared" si="10"/>
        <v>0</v>
      </c>
      <c r="AL17" s="1">
        <f t="shared" si="11"/>
        <v>0</v>
      </c>
      <c r="AM17" s="1">
        <f t="shared" si="12"/>
        <v>2</v>
      </c>
      <c r="AN17" s="1">
        <f t="shared" si="13"/>
        <v>-93631153</v>
      </c>
      <c r="AO17" s="1">
        <f t="shared" si="14"/>
        <v>3</v>
      </c>
    </row>
    <row r="18" spans="1:41" ht="76" thickTop="1" x14ac:dyDescent="0.2">
      <c r="A18" s="46" t="s">
        <v>16</v>
      </c>
      <c r="B18" s="46">
        <v>2635</v>
      </c>
      <c r="C18" s="36" t="s">
        <v>1</v>
      </c>
      <c r="D18" s="36" t="s">
        <v>2</v>
      </c>
      <c r="E18" s="36" t="s">
        <v>90</v>
      </c>
      <c r="F18" s="36" t="s">
        <v>98</v>
      </c>
      <c r="G18" s="36" t="s">
        <v>162</v>
      </c>
      <c r="H18" s="35" t="str" cm="1">
        <f t="array" ref="H18">Reverse2_6(O18)</f>
        <v>00-010101</v>
      </c>
      <c r="I18" s="44" cm="1">
        <f t="array" ref="I18">HEX2DEC(Reverse(P18))</f>
        <v>93631153</v>
      </c>
      <c r="J18" s="44" cm="1">
        <f t="array" ref="J18">IF(Q18&lt;&gt;0, HEX2DEC(Reverse(Q18))-$I18,"")</f>
        <v>1</v>
      </c>
      <c r="K18" s="44" cm="1">
        <f t="array" ref="K18">IF(R18&lt;&gt;0, HEX2DEC(Reverse(R18))-$I18,"")</f>
        <v>2</v>
      </c>
      <c r="L18" s="44" cm="1">
        <f t="array" ref="L18">IF(S18&lt;&gt;0, HEX2DEC(Reverse(S18))-$I18,"")</f>
        <v>2</v>
      </c>
      <c r="M18" s="44" cm="1">
        <f t="array" ref="M18">IF(T18&lt;&gt;0, HEX2DEC(Reverse(T18))-$I18,"")</f>
        <v>3</v>
      </c>
      <c r="O18" s="3">
        <v>1010100</v>
      </c>
      <c r="P18" s="3" t="s">
        <v>114</v>
      </c>
      <c r="Q18" s="3" t="s">
        <v>117</v>
      </c>
      <c r="R18" s="29" t="s">
        <v>118</v>
      </c>
      <c r="S18" s="3" t="s">
        <v>118</v>
      </c>
      <c r="T18" s="3" t="s">
        <v>119</v>
      </c>
      <c r="U18" s="3"/>
      <c r="V18" s="4" t="s">
        <v>1781</v>
      </c>
      <c r="Y18" s="3" t="str">
        <f>MID(P18,7,2)&amp;MID(P18,5,2)&amp;MID(P18,3,2)&amp;MID(P18,1,2)</f>
        <v>0594b2b1</v>
      </c>
      <c r="Z18" s="3" t="str">
        <f>MID(Q18,7,2)&amp;MID(Q18,5,2)&amp;MID(Q18,3,2)&amp;MID(Q18,1,2)</f>
        <v>0594b2b2</v>
      </c>
      <c r="AA18" s="3" t="str">
        <f t="shared" si="18"/>
        <v>0594b2b3</v>
      </c>
      <c r="AB18" s="3" t="str">
        <f t="shared" si="19"/>
        <v>0594b2b3</v>
      </c>
      <c r="AC18" s="3" t="str">
        <f t="shared" si="20"/>
        <v>0594b2b4</v>
      </c>
      <c r="AD18" s="3" t="str">
        <f t="shared" si="21"/>
        <v/>
      </c>
      <c r="AE18" s="3">
        <f t="shared" si="22"/>
        <v>93631153</v>
      </c>
      <c r="AF18" s="3">
        <f t="shared" si="23"/>
        <v>93631154</v>
      </c>
      <c r="AG18" s="3">
        <f t="shared" si="24"/>
        <v>93631155</v>
      </c>
      <c r="AH18" s="3">
        <f t="shared" si="25"/>
        <v>93631155</v>
      </c>
      <c r="AI18" s="3">
        <f t="shared" si="26"/>
        <v>93631156</v>
      </c>
      <c r="AJ18" s="3">
        <f t="shared" si="27"/>
        <v>0</v>
      </c>
      <c r="AK18" s="1">
        <f t="shared" si="10"/>
        <v>0</v>
      </c>
      <c r="AL18" s="1">
        <f t="shared" si="11"/>
        <v>1</v>
      </c>
      <c r="AM18" s="1">
        <f t="shared" si="12"/>
        <v>2</v>
      </c>
      <c r="AN18" s="1">
        <f t="shared" si="13"/>
        <v>2</v>
      </c>
      <c r="AO18" s="1">
        <f t="shared" si="14"/>
        <v>3</v>
      </c>
    </row>
    <row r="19" spans="1:41" x14ac:dyDescent="0.2">
      <c r="A19" s="24" t="s">
        <v>17</v>
      </c>
      <c r="B19" s="24">
        <v>2654</v>
      </c>
      <c r="C19" s="25" t="s">
        <v>2</v>
      </c>
      <c r="D19" s="25" t="s">
        <v>1</v>
      </c>
      <c r="E19" s="25" t="s">
        <v>92</v>
      </c>
      <c r="F19" s="25" t="s">
        <v>94</v>
      </c>
      <c r="G19" s="25" t="s">
        <v>1777</v>
      </c>
      <c r="H19" s="26" t="str" cm="1">
        <f t="array" ref="H19">Reverse2_6(O19)</f>
        <v>00-010201</v>
      </c>
      <c r="I19" s="43" cm="1">
        <f t="array" ref="I19">HEX2DEC(Reverse(P19))</f>
        <v>93631153</v>
      </c>
      <c r="J19" s="43" cm="1">
        <f t="array" ref="J19">IF(Q19&lt;&gt;0, HEX2DEC(Reverse(Q19))-$I19,"")</f>
        <v>2</v>
      </c>
      <c r="K19" s="43" cm="1">
        <f t="array" ref="K19">IF(R19&lt;&gt;0, HEX2DEC(Reverse(R19))-$I19,"")</f>
        <v>1</v>
      </c>
      <c r="L19" s="43" t="str" cm="1">
        <f t="array" ref="L19">IF(S19&lt;&gt;0, HEX2DEC(Reverse(S19))-$I19,"")</f>
        <v/>
      </c>
      <c r="M19" s="43" cm="1">
        <f t="array" ref="M19">IF(T19&lt;&gt;0, HEX2DEC(Reverse(T19))-$I19,"")</f>
        <v>2</v>
      </c>
      <c r="O19" s="26">
        <v>1020100</v>
      </c>
      <c r="P19" s="26" t="s">
        <v>114</v>
      </c>
      <c r="Q19" s="26" t="s">
        <v>118</v>
      </c>
      <c r="R19" s="26" t="s">
        <v>117</v>
      </c>
      <c r="S19" s="26">
        <v>0</v>
      </c>
      <c r="T19" s="26" t="s">
        <v>118</v>
      </c>
      <c r="U19" s="3"/>
      <c r="Y19" s="3" t="str">
        <f>MID(P19,7,2)&amp;MID(P19,5,2)&amp;MID(P19,3,2)&amp;MID(P19,1,2)</f>
        <v>0594b2b1</v>
      </c>
      <c r="Z19" s="3" t="str">
        <f>MID(Q19,7,2)&amp;MID(Q19,5,2)&amp;MID(Q19,3,2)&amp;MID(Q19,1,2)</f>
        <v>0594b2b3</v>
      </c>
      <c r="AA19" s="3" t="str">
        <f t="shared" si="18"/>
        <v>0594b2b2</v>
      </c>
      <c r="AB19" s="3" t="str">
        <f t="shared" si="19"/>
        <v>0</v>
      </c>
      <c r="AC19" s="3" t="str">
        <f t="shared" si="20"/>
        <v>0594b2b3</v>
      </c>
      <c r="AD19" s="3" t="str">
        <f t="shared" si="21"/>
        <v/>
      </c>
      <c r="AE19" s="3">
        <f t="shared" si="22"/>
        <v>93631153</v>
      </c>
      <c r="AF19" s="3">
        <f t="shared" si="23"/>
        <v>93631155</v>
      </c>
      <c r="AG19" s="3">
        <f t="shared" si="24"/>
        <v>93631154</v>
      </c>
      <c r="AH19" s="3">
        <f t="shared" si="25"/>
        <v>0</v>
      </c>
      <c r="AI19" s="3">
        <f t="shared" si="26"/>
        <v>93631155</v>
      </c>
      <c r="AJ19" s="3">
        <f t="shared" si="27"/>
        <v>0</v>
      </c>
      <c r="AK19" s="1">
        <f t="shared" si="10"/>
        <v>0</v>
      </c>
      <c r="AL19" s="1">
        <f t="shared" si="11"/>
        <v>2</v>
      </c>
      <c r="AM19" s="1">
        <f t="shared" si="12"/>
        <v>1</v>
      </c>
      <c r="AN19" s="1">
        <f t="shared" si="13"/>
        <v>-93631153</v>
      </c>
      <c r="AO19" s="1">
        <f t="shared" si="14"/>
        <v>2</v>
      </c>
    </row>
    <row r="20" spans="1:41" x14ac:dyDescent="0.2">
      <c r="A20" s="16" t="s">
        <v>18</v>
      </c>
      <c r="B20" s="16">
        <v>2667</v>
      </c>
      <c r="C20" s="15" t="s">
        <v>2</v>
      </c>
      <c r="D20" s="15" t="s">
        <v>1</v>
      </c>
      <c r="E20" s="15" t="s">
        <v>92</v>
      </c>
      <c r="F20" s="15" t="s">
        <v>96</v>
      </c>
      <c r="G20" s="15" t="s">
        <v>166</v>
      </c>
      <c r="H20" s="17" t="str" cm="1">
        <f t="array" ref="H20">Reverse2_6(O20)</f>
        <v>00-010101</v>
      </c>
      <c r="I20" s="18" cm="1">
        <f t="array" ref="I20">HEX2DEC(Reverse(P20))</f>
        <v>93631153</v>
      </c>
      <c r="J20" s="18" cm="1">
        <f t="array" ref="J20">IF(Q20&lt;&gt;0, HEX2DEC(Reverse(Q20))-$I20,"")</f>
        <v>3</v>
      </c>
      <c r="K20" s="18" cm="1">
        <f t="array" ref="K20">IF(R20&lt;&gt;0, HEX2DEC(Reverse(R20))-$I20,"")</f>
        <v>1</v>
      </c>
      <c r="L20" s="18" cm="1">
        <f t="array" ref="L20">IF(S20&lt;&gt;0, HEX2DEC(Reverse(S20))-$I20,"")</f>
        <v>4</v>
      </c>
      <c r="M20" s="18" cm="1">
        <f t="array" ref="M20">IF(T20&lt;&gt;0, HEX2DEC(Reverse(T20))-$I20,"")</f>
        <v>2</v>
      </c>
      <c r="O20" s="3">
        <v>1010100</v>
      </c>
      <c r="P20" s="3" t="s">
        <v>114</v>
      </c>
      <c r="Q20" s="3" t="s">
        <v>119</v>
      </c>
      <c r="R20" s="26" t="s">
        <v>117</v>
      </c>
      <c r="S20" s="3" t="s">
        <v>121</v>
      </c>
      <c r="T20" s="3" t="s">
        <v>118</v>
      </c>
      <c r="U20" s="3"/>
      <c r="V20" s="1" t="s">
        <v>1782</v>
      </c>
      <c r="Y20" s="3" t="str">
        <f>MID(P20,7,2)&amp;MID(P20,5,2)&amp;MID(P20,3,2)&amp;MID(P20,1,2)</f>
        <v>0594b2b1</v>
      </c>
      <c r="Z20" s="3" t="str">
        <f>MID(Q20,7,2)&amp;MID(Q20,5,2)&amp;MID(Q20,3,2)&amp;MID(Q20,1,2)</f>
        <v>0594b2b4</v>
      </c>
      <c r="AA20" s="3" t="str">
        <f t="shared" si="18"/>
        <v>0594b2b2</v>
      </c>
      <c r="AB20" s="3" t="str">
        <f t="shared" si="19"/>
        <v>0594b2b5</v>
      </c>
      <c r="AC20" s="3" t="str">
        <f t="shared" si="20"/>
        <v>0594b2b3</v>
      </c>
      <c r="AD20" s="3" t="str">
        <f t="shared" si="21"/>
        <v/>
      </c>
      <c r="AE20" s="3">
        <f t="shared" si="22"/>
        <v>93631153</v>
      </c>
      <c r="AF20" s="3">
        <f t="shared" si="23"/>
        <v>93631156</v>
      </c>
      <c r="AG20" s="3">
        <f t="shared" si="24"/>
        <v>93631154</v>
      </c>
      <c r="AH20" s="3">
        <f t="shared" si="25"/>
        <v>93631157</v>
      </c>
      <c r="AI20" s="3">
        <f t="shared" si="26"/>
        <v>93631155</v>
      </c>
      <c r="AJ20" s="3">
        <f t="shared" si="27"/>
        <v>0</v>
      </c>
      <c r="AK20" s="1">
        <f t="shared" si="10"/>
        <v>0</v>
      </c>
      <c r="AL20" s="1">
        <f t="shared" si="11"/>
        <v>3</v>
      </c>
      <c r="AM20" s="1">
        <f t="shared" si="12"/>
        <v>1</v>
      </c>
      <c r="AN20" s="1">
        <f t="shared" si="13"/>
        <v>4</v>
      </c>
      <c r="AO20" s="1">
        <f t="shared" si="14"/>
        <v>2</v>
      </c>
    </row>
    <row r="21" spans="1:41" x14ac:dyDescent="0.2">
      <c r="A21" s="16" t="s">
        <v>19</v>
      </c>
      <c r="B21" s="16">
        <v>2668</v>
      </c>
      <c r="C21" s="15" t="s">
        <v>2</v>
      </c>
      <c r="D21" s="15" t="s">
        <v>1</v>
      </c>
      <c r="E21" s="15" t="s">
        <v>92</v>
      </c>
      <c r="F21" s="15" t="s">
        <v>99</v>
      </c>
      <c r="G21" s="15" t="s">
        <v>166</v>
      </c>
      <c r="H21" s="17" t="str" cm="1">
        <f t="array" ref="H21">Reverse2_6(O21)</f>
        <v>00-010101</v>
      </c>
      <c r="I21" s="18" cm="1">
        <f t="array" ref="I21">HEX2DEC(Reverse(P21))</f>
        <v>93631153</v>
      </c>
      <c r="J21" s="18" cm="1">
        <f t="array" ref="J21">IF(Q21&lt;&gt;0, HEX2DEC(Reverse(Q21))-$I21,"")</f>
        <v>4</v>
      </c>
      <c r="K21" s="18" cm="1">
        <f t="array" ref="K21">IF(R21&lt;&gt;0, HEX2DEC(Reverse(R21))-$I21,"")</f>
        <v>1</v>
      </c>
      <c r="L21" s="18" cm="1">
        <f t="array" ref="L21">IF(S21&lt;&gt;0, HEX2DEC(Reverse(S21))-$I21,"")</f>
        <v>5</v>
      </c>
      <c r="M21" s="18" cm="1">
        <f t="array" ref="M21">IF(T21&lt;&gt;0, HEX2DEC(Reverse(T21))-$I21,"")</f>
        <v>2</v>
      </c>
      <c r="O21" s="3">
        <v>1010100</v>
      </c>
      <c r="P21" s="3" t="s">
        <v>114</v>
      </c>
      <c r="Q21" s="3" t="s">
        <v>121</v>
      </c>
      <c r="R21" s="26" t="s">
        <v>117</v>
      </c>
      <c r="S21" s="3" t="s">
        <v>122</v>
      </c>
      <c r="T21" s="3" t="s">
        <v>118</v>
      </c>
      <c r="U21" s="3"/>
      <c r="V21" s="1" t="s">
        <v>1783</v>
      </c>
      <c r="Y21" s="3" t="str">
        <f>MID(P21,7,2)&amp;MID(P21,5,2)&amp;MID(P21,3,2)&amp;MID(P21,1,2)</f>
        <v>0594b2b1</v>
      </c>
      <c r="Z21" s="3" t="str">
        <f>MID(Q21,7,2)&amp;MID(Q21,5,2)&amp;MID(Q21,3,2)&amp;MID(Q21,1,2)</f>
        <v>0594b2b5</v>
      </c>
      <c r="AA21" s="3" t="str">
        <f t="shared" si="18"/>
        <v>0594b2b2</v>
      </c>
      <c r="AB21" s="3" t="str">
        <f t="shared" si="19"/>
        <v>0594b2b6</v>
      </c>
      <c r="AC21" s="3" t="str">
        <f t="shared" si="20"/>
        <v>0594b2b3</v>
      </c>
      <c r="AD21" s="3" t="str">
        <f t="shared" si="21"/>
        <v/>
      </c>
      <c r="AE21" s="3">
        <f t="shared" si="22"/>
        <v>93631153</v>
      </c>
      <c r="AF21" s="3">
        <f t="shared" si="23"/>
        <v>93631157</v>
      </c>
      <c r="AG21" s="3">
        <f t="shared" si="24"/>
        <v>93631154</v>
      </c>
      <c r="AH21" s="3">
        <f t="shared" si="25"/>
        <v>93631158</v>
      </c>
      <c r="AI21" s="3">
        <f t="shared" si="26"/>
        <v>93631155</v>
      </c>
      <c r="AJ21" s="3">
        <f t="shared" si="27"/>
        <v>0</v>
      </c>
      <c r="AK21" s="1">
        <f t="shared" si="10"/>
        <v>0</v>
      </c>
      <c r="AL21" s="1">
        <f t="shared" si="11"/>
        <v>4</v>
      </c>
      <c r="AM21" s="1">
        <f t="shared" si="12"/>
        <v>1</v>
      </c>
      <c r="AN21" s="1">
        <f t="shared" si="13"/>
        <v>5</v>
      </c>
      <c r="AO21" s="1">
        <f t="shared" si="14"/>
        <v>2</v>
      </c>
    </row>
    <row r="22" spans="1:41" x14ac:dyDescent="0.2">
      <c r="A22" s="27" t="s">
        <v>20</v>
      </c>
      <c r="B22" s="27">
        <v>2669</v>
      </c>
      <c r="C22" s="28" t="s">
        <v>1</v>
      </c>
      <c r="D22" s="28" t="s">
        <v>2</v>
      </c>
      <c r="E22" s="28" t="s">
        <v>90</v>
      </c>
      <c r="F22" s="28" t="s">
        <v>94</v>
      </c>
      <c r="G22" s="28" t="s">
        <v>1778</v>
      </c>
      <c r="H22" s="29" t="str" cm="1">
        <f t="array" ref="H22">Reverse2_6(O22)</f>
        <v>00-010201</v>
      </c>
      <c r="I22" s="42" cm="1">
        <f t="array" ref="I22">HEX2DEC(Reverse(P22))</f>
        <v>93631153</v>
      </c>
      <c r="J22" s="42" cm="1">
        <f t="array" ref="J22">IF(Q22&lt;&gt;0, HEX2DEC(Reverse(Q22))-$I22,"")</f>
        <v>1</v>
      </c>
      <c r="K22" s="42" cm="1">
        <f t="array" ref="K22">IF(R22&lt;&gt;0, HEX2DEC(Reverse(R22))-$I22,"")</f>
        <v>3</v>
      </c>
      <c r="L22" s="42" t="str" cm="1">
        <f t="array" ref="L22">IF(S22&lt;&gt;0, HEX2DEC(Reverse(S22))-$I22,"")</f>
        <v/>
      </c>
      <c r="M22" s="42" cm="1">
        <f t="array" ref="M22">IF(T22&lt;&gt;0, HEX2DEC(Reverse(T22))-$I22,"")</f>
        <v>4</v>
      </c>
      <c r="O22" s="29">
        <v>1020100</v>
      </c>
      <c r="P22" s="29" t="s">
        <v>114</v>
      </c>
      <c r="Q22" s="26" t="s">
        <v>117</v>
      </c>
      <c r="R22" s="29" t="s">
        <v>119</v>
      </c>
      <c r="S22" s="29">
        <v>0</v>
      </c>
      <c r="T22" s="29" t="s">
        <v>121</v>
      </c>
      <c r="U22" s="3"/>
      <c r="Y22" s="3" t="str">
        <f>MID(P22,7,2)&amp;MID(P22,5,2)&amp;MID(P22,3,2)&amp;MID(P22,1,2)</f>
        <v>0594b2b1</v>
      </c>
      <c r="Z22" s="3" t="str">
        <f>MID(Q22,7,2)&amp;MID(Q22,5,2)&amp;MID(Q22,3,2)&amp;MID(Q22,1,2)</f>
        <v>0594b2b2</v>
      </c>
      <c r="AA22" s="3" t="str">
        <f t="shared" si="18"/>
        <v>0594b2b4</v>
      </c>
      <c r="AB22" s="3" t="str">
        <f t="shared" si="19"/>
        <v>0</v>
      </c>
      <c r="AC22" s="3" t="str">
        <f t="shared" si="20"/>
        <v>0594b2b5</v>
      </c>
      <c r="AD22" s="3" t="str">
        <f t="shared" si="21"/>
        <v/>
      </c>
      <c r="AE22" s="3">
        <f t="shared" si="22"/>
        <v>93631153</v>
      </c>
      <c r="AF22" s="3">
        <f t="shared" si="23"/>
        <v>93631154</v>
      </c>
      <c r="AG22" s="3">
        <f t="shared" si="24"/>
        <v>93631156</v>
      </c>
      <c r="AH22" s="3">
        <f t="shared" si="25"/>
        <v>0</v>
      </c>
      <c r="AI22" s="3">
        <f t="shared" si="26"/>
        <v>93631157</v>
      </c>
      <c r="AJ22" s="3">
        <f t="shared" si="27"/>
        <v>0</v>
      </c>
      <c r="AK22" s="1">
        <f t="shared" si="10"/>
        <v>0</v>
      </c>
      <c r="AL22" s="1">
        <f t="shared" si="11"/>
        <v>1</v>
      </c>
      <c r="AM22" s="1">
        <f t="shared" si="12"/>
        <v>3</v>
      </c>
      <c r="AN22" s="1">
        <f t="shared" si="13"/>
        <v>-93631153</v>
      </c>
      <c r="AO22" s="1">
        <f t="shared" si="14"/>
        <v>4</v>
      </c>
    </row>
    <row r="23" spans="1:41" ht="17" thickBot="1" x14ac:dyDescent="0.25">
      <c r="A23" s="49" t="s">
        <v>21</v>
      </c>
      <c r="B23" s="49">
        <v>2670</v>
      </c>
      <c r="C23" s="50" t="s">
        <v>1</v>
      </c>
      <c r="D23" s="50" t="s">
        <v>2</v>
      </c>
      <c r="E23" s="50" t="s">
        <v>90</v>
      </c>
      <c r="F23" s="50" t="s">
        <v>94</v>
      </c>
      <c r="G23" s="50" t="s">
        <v>1778</v>
      </c>
      <c r="H23" s="52" t="str" cm="1">
        <f t="array" ref="H23">Reverse2_6(O23)</f>
        <v>00-010201</v>
      </c>
      <c r="I23" s="51" cm="1">
        <f t="array" ref="I23">HEX2DEC(Reverse(P23))</f>
        <v>93631153</v>
      </c>
      <c r="J23" s="51" cm="1">
        <f t="array" ref="J23">IF(Q23&lt;&gt;0, HEX2DEC(Reverse(Q23))-$I23,"")</f>
        <v>1</v>
      </c>
      <c r="K23" s="51" cm="1">
        <f t="array" ref="K23">IF(R23&lt;&gt;0, HEX2DEC(Reverse(R23))-$I23,"")</f>
        <v>4</v>
      </c>
      <c r="L23" s="51" t="str" cm="1">
        <f t="array" ref="L23">IF(S23&lt;&gt;0, HEX2DEC(Reverse(S23))-$I23,"")</f>
        <v/>
      </c>
      <c r="M23" s="51" cm="1">
        <f t="array" ref="M23">IF(T23&lt;&gt;0, HEX2DEC(Reverse(T23))-$I23,"")</f>
        <v>5</v>
      </c>
      <c r="O23" s="52">
        <v>1020100</v>
      </c>
      <c r="P23" s="52" t="s">
        <v>114</v>
      </c>
      <c r="Q23" s="52" t="s">
        <v>117</v>
      </c>
      <c r="R23" s="55" t="s">
        <v>121</v>
      </c>
      <c r="S23" s="52">
        <v>0</v>
      </c>
      <c r="T23" s="52" t="s">
        <v>122</v>
      </c>
      <c r="U23" s="54"/>
      <c r="Y23" s="3" t="str">
        <f>MID(P23,7,2)&amp;MID(P23,5,2)&amp;MID(P23,3,2)&amp;MID(P23,1,2)</f>
        <v>0594b2b1</v>
      </c>
      <c r="Z23" s="3" t="str">
        <f>MID(Q23,7,2)&amp;MID(Q23,5,2)&amp;MID(Q23,3,2)&amp;MID(Q23,1,2)</f>
        <v>0594b2b2</v>
      </c>
      <c r="AA23" s="3" t="str">
        <f t="shared" si="18"/>
        <v>0594b2b5</v>
      </c>
      <c r="AB23" s="3" t="str">
        <f t="shared" si="19"/>
        <v>0</v>
      </c>
      <c r="AC23" s="3" t="str">
        <f t="shared" si="20"/>
        <v>0594b2b6</v>
      </c>
      <c r="AD23" s="3" t="str">
        <f t="shared" si="21"/>
        <v/>
      </c>
      <c r="AE23" s="3">
        <f t="shared" si="22"/>
        <v>93631153</v>
      </c>
      <c r="AF23" s="3">
        <f t="shared" si="23"/>
        <v>93631154</v>
      </c>
      <c r="AG23" s="3">
        <f t="shared" si="24"/>
        <v>93631157</v>
      </c>
      <c r="AH23" s="3">
        <f t="shared" si="25"/>
        <v>0</v>
      </c>
      <c r="AI23" s="3">
        <f t="shared" si="26"/>
        <v>93631158</v>
      </c>
      <c r="AJ23" s="3">
        <f t="shared" si="27"/>
        <v>0</v>
      </c>
      <c r="AK23" s="1">
        <f t="shared" si="10"/>
        <v>0</v>
      </c>
      <c r="AL23" s="1">
        <f t="shared" si="11"/>
        <v>1</v>
      </c>
      <c r="AM23" s="1">
        <f t="shared" si="12"/>
        <v>4</v>
      </c>
      <c r="AN23" s="1">
        <f t="shared" si="13"/>
        <v>-93631153</v>
      </c>
      <c r="AO23" s="1">
        <f t="shared" si="14"/>
        <v>5</v>
      </c>
    </row>
    <row r="24" spans="1:41" ht="121" thickTop="1" x14ac:dyDescent="0.2">
      <c r="A24" s="46" t="s">
        <v>22</v>
      </c>
      <c r="B24" s="46">
        <v>2673</v>
      </c>
      <c r="C24" s="36" t="s">
        <v>1</v>
      </c>
      <c r="D24" s="36" t="s">
        <v>2</v>
      </c>
      <c r="E24" s="36" t="s">
        <v>90</v>
      </c>
      <c r="F24" s="36" t="s">
        <v>100</v>
      </c>
      <c r="G24" s="36" t="s">
        <v>1768</v>
      </c>
      <c r="H24" s="35" t="str" cm="1">
        <f t="array" ref="H24">Reverse2_6(O24)</f>
        <v>00-010101</v>
      </c>
      <c r="I24" s="44" cm="1">
        <f t="array" ref="I24">HEX2DEC(Reverse(P24))</f>
        <v>93631153</v>
      </c>
      <c r="J24" s="44" cm="1">
        <f t="array" ref="J24">IF(Q24&lt;&gt;0, HEX2DEC(Reverse(Q24))-$I24,"")</f>
        <v>2</v>
      </c>
      <c r="K24" s="44" cm="1">
        <f t="array" ref="K24">IF(R24&lt;&gt;0, HEX2DEC(Reverse(R24))-$I24,"")</f>
        <v>4</v>
      </c>
      <c r="L24" s="44" cm="1">
        <f t="array" ref="L24">IF(S24&lt;&gt;0, HEX2DEC(Reverse(S24))-$I24,"")</f>
        <v>3</v>
      </c>
      <c r="M24" s="44" cm="1">
        <f t="array" ref="M24">IF(T24&lt;&gt;0, HEX2DEC(Reverse(T24))-$I24,"")</f>
        <v>5</v>
      </c>
      <c r="O24" s="3">
        <v>1010100</v>
      </c>
      <c r="P24" s="3" t="s">
        <v>114</v>
      </c>
      <c r="Q24" s="17" t="s">
        <v>118</v>
      </c>
      <c r="R24" s="22" t="s">
        <v>121</v>
      </c>
      <c r="S24" s="3" t="s">
        <v>119</v>
      </c>
      <c r="T24" s="3" t="s">
        <v>122</v>
      </c>
      <c r="U24" s="3"/>
      <c r="V24" s="4" t="s">
        <v>1784</v>
      </c>
      <c r="W24" s="4" t="s">
        <v>1762</v>
      </c>
      <c r="X24" s="4" t="s">
        <v>1763</v>
      </c>
      <c r="Y24" s="3" t="str">
        <f>MID(P24,7,2)&amp;MID(P24,5,2)&amp;MID(P24,3,2)&amp;MID(P24,1,2)</f>
        <v>0594b2b1</v>
      </c>
      <c r="Z24" s="3" t="str">
        <f>MID(Q24,7,2)&amp;MID(Q24,5,2)&amp;MID(Q24,3,2)&amp;MID(Q24,1,2)</f>
        <v>0594b2b3</v>
      </c>
      <c r="AA24" s="3" t="str">
        <f t="shared" si="18"/>
        <v>0594b2b5</v>
      </c>
      <c r="AB24" s="3" t="str">
        <f t="shared" si="19"/>
        <v>0594b2b4</v>
      </c>
      <c r="AC24" s="3" t="str">
        <f t="shared" si="20"/>
        <v>0594b2b6</v>
      </c>
      <c r="AD24" s="3" t="str">
        <f t="shared" si="21"/>
        <v/>
      </c>
      <c r="AE24" s="3">
        <f t="shared" si="22"/>
        <v>93631153</v>
      </c>
      <c r="AF24" s="3">
        <f t="shared" si="23"/>
        <v>93631155</v>
      </c>
      <c r="AG24" s="3">
        <f t="shared" si="24"/>
        <v>93631157</v>
      </c>
      <c r="AH24" s="3">
        <f t="shared" si="25"/>
        <v>93631156</v>
      </c>
      <c r="AI24" s="3">
        <f t="shared" si="26"/>
        <v>93631158</v>
      </c>
      <c r="AJ24" s="3">
        <f t="shared" si="27"/>
        <v>0</v>
      </c>
      <c r="AK24" s="1">
        <f t="shared" si="10"/>
        <v>0</v>
      </c>
      <c r="AL24" s="1">
        <f t="shared" si="11"/>
        <v>2</v>
      </c>
      <c r="AM24" s="1">
        <f t="shared" si="12"/>
        <v>4</v>
      </c>
      <c r="AN24" s="1">
        <f t="shared" si="13"/>
        <v>3</v>
      </c>
      <c r="AO24" s="1">
        <f t="shared" si="14"/>
        <v>5</v>
      </c>
    </row>
    <row r="25" spans="1:41" x14ac:dyDescent="0.2">
      <c r="A25" s="46" t="s">
        <v>23</v>
      </c>
      <c r="B25" s="46">
        <v>2674</v>
      </c>
      <c r="C25" s="36" t="s">
        <v>1</v>
      </c>
      <c r="D25" s="36" t="s">
        <v>2</v>
      </c>
      <c r="E25" s="36" t="s">
        <v>90</v>
      </c>
      <c r="F25" s="36" t="s">
        <v>100</v>
      </c>
      <c r="G25" s="48" t="s">
        <v>1769</v>
      </c>
      <c r="H25" s="35" t="str" cm="1">
        <f t="array" ref="H25">Reverse2_6(O25)</f>
        <v>00-010101</v>
      </c>
      <c r="I25" s="44" cm="1">
        <f t="array" ref="I25">HEX2DEC(Reverse(P25))</f>
        <v>93631153</v>
      </c>
      <c r="J25" s="44" cm="1">
        <f t="array" ref="J25">IF(Q25&lt;&gt;0, HEX2DEC(Reverse(Q25))-$I25,"")</f>
        <v>3</v>
      </c>
      <c r="K25" s="44" cm="1">
        <f t="array" ref="K25">IF(R25&lt;&gt;0, HEX2DEC(Reverse(R25))-$I25,"")</f>
        <v>4</v>
      </c>
      <c r="L25" s="44" cm="1">
        <f t="array" ref="L25">IF(S25&lt;&gt;0, HEX2DEC(Reverse(S25))-$I25,"")</f>
        <v>4</v>
      </c>
      <c r="M25" s="44" cm="1">
        <f t="array" ref="M25">IF(T25&lt;&gt;0, HEX2DEC(Reverse(T25))-$I25,"")</f>
        <v>5</v>
      </c>
      <c r="O25" s="3">
        <v>1010100</v>
      </c>
      <c r="P25" s="3" t="s">
        <v>114</v>
      </c>
      <c r="Q25" s="30" t="s">
        <v>119</v>
      </c>
      <c r="R25" s="22" t="s">
        <v>121</v>
      </c>
      <c r="S25" s="3" t="s">
        <v>121</v>
      </c>
      <c r="T25" s="3" t="s">
        <v>122</v>
      </c>
      <c r="U25" s="3"/>
      <c r="V25" s="4" t="s">
        <v>1785</v>
      </c>
      <c r="Y25" s="3" t="str">
        <f>MID(P25,7,2)&amp;MID(P25,5,2)&amp;MID(P25,3,2)&amp;MID(P25,1,2)</f>
        <v>0594b2b1</v>
      </c>
      <c r="Z25" s="3" t="str">
        <f>MID(Q25,7,2)&amp;MID(Q25,5,2)&amp;MID(Q25,3,2)&amp;MID(Q25,1,2)</f>
        <v>0594b2b4</v>
      </c>
      <c r="AA25" s="3" t="str">
        <f t="shared" si="18"/>
        <v>0594b2b5</v>
      </c>
      <c r="AB25" s="3" t="str">
        <f t="shared" si="19"/>
        <v>0594b2b5</v>
      </c>
      <c r="AC25" s="3" t="str">
        <f t="shared" si="20"/>
        <v>0594b2b6</v>
      </c>
      <c r="AD25" s="3" t="str">
        <f t="shared" si="21"/>
        <v/>
      </c>
      <c r="AE25" s="3">
        <f t="shared" si="22"/>
        <v>93631153</v>
      </c>
      <c r="AF25" s="3">
        <f t="shared" si="23"/>
        <v>93631156</v>
      </c>
      <c r="AG25" s="3">
        <f t="shared" si="24"/>
        <v>93631157</v>
      </c>
      <c r="AH25" s="3">
        <f t="shared" si="25"/>
        <v>93631157</v>
      </c>
      <c r="AI25" s="3">
        <f t="shared" si="26"/>
        <v>93631158</v>
      </c>
      <c r="AJ25" s="3">
        <f t="shared" si="27"/>
        <v>0</v>
      </c>
      <c r="AK25" s="1">
        <f t="shared" si="10"/>
        <v>0</v>
      </c>
      <c r="AL25" s="1">
        <f t="shared" si="11"/>
        <v>3</v>
      </c>
      <c r="AM25" s="1">
        <f t="shared" si="12"/>
        <v>4</v>
      </c>
      <c r="AN25" s="1">
        <f t="shared" si="13"/>
        <v>4</v>
      </c>
      <c r="AO25" s="1">
        <f t="shared" si="14"/>
        <v>5</v>
      </c>
    </row>
    <row r="26" spans="1:41" x14ac:dyDescent="0.2">
      <c r="A26" s="46" t="s">
        <v>24</v>
      </c>
      <c r="B26" s="46">
        <v>2675</v>
      </c>
      <c r="C26" s="36" t="s">
        <v>1</v>
      </c>
      <c r="D26" s="36" t="s">
        <v>2</v>
      </c>
      <c r="E26" s="36" t="s">
        <v>90</v>
      </c>
      <c r="F26" s="36" t="s">
        <v>101</v>
      </c>
      <c r="G26" s="48" t="s">
        <v>167</v>
      </c>
      <c r="H26" s="35" t="str" cm="1">
        <f t="array" ref="H26">Reverse2_6(O26)</f>
        <v>00-010101</v>
      </c>
      <c r="I26" s="44" cm="1">
        <f t="array" ref="I26">HEX2DEC(Reverse(P26))</f>
        <v>93631153</v>
      </c>
      <c r="J26" s="44" cm="1">
        <f t="array" ref="J26">IF(Q26&lt;&gt;0, HEX2DEC(Reverse(Q26))-$I26,"")</f>
        <v>4</v>
      </c>
      <c r="K26" s="44" cm="1">
        <f t="array" ref="K26">IF(R26&lt;&gt;0, HEX2DEC(Reverse(R26))-$I26,"")</f>
        <v>4</v>
      </c>
      <c r="L26" s="44" cm="1">
        <f t="array" ref="L26">IF(S26&lt;&gt;0, HEX2DEC(Reverse(S26))-$I26,"")</f>
        <v>5</v>
      </c>
      <c r="M26" s="44" cm="1">
        <f t="array" ref="M26">IF(T26&lt;&gt;0, HEX2DEC(Reverse(T26))-$I26,"")</f>
        <v>5</v>
      </c>
      <c r="O26" s="3">
        <v>1010100</v>
      </c>
      <c r="P26" s="3" t="s">
        <v>114</v>
      </c>
      <c r="Q26" s="35" t="s">
        <v>121</v>
      </c>
      <c r="R26" s="22" t="s">
        <v>121</v>
      </c>
      <c r="S26" s="6" t="s">
        <v>122</v>
      </c>
      <c r="T26" s="3" t="s">
        <v>122</v>
      </c>
      <c r="U26" s="3"/>
      <c r="V26" s="4" t="s">
        <v>1786</v>
      </c>
      <c r="Y26" s="3" t="str">
        <f>MID(P26,7,2)&amp;MID(P26,5,2)&amp;MID(P26,3,2)&amp;MID(P26,1,2)</f>
        <v>0594b2b1</v>
      </c>
      <c r="Z26" s="3" t="str">
        <f>MID(Q26,7,2)&amp;MID(Q26,5,2)&amp;MID(Q26,3,2)&amp;MID(Q26,1,2)</f>
        <v>0594b2b5</v>
      </c>
      <c r="AA26" s="3" t="str">
        <f t="shared" si="18"/>
        <v>0594b2b5</v>
      </c>
      <c r="AB26" s="3" t="str">
        <f t="shared" si="19"/>
        <v>0594b2b6</v>
      </c>
      <c r="AC26" s="3" t="str">
        <f t="shared" si="20"/>
        <v>0594b2b6</v>
      </c>
      <c r="AD26" s="3" t="str">
        <f t="shared" si="21"/>
        <v/>
      </c>
      <c r="AE26" s="3">
        <f t="shared" si="22"/>
        <v>93631153</v>
      </c>
      <c r="AF26" s="3">
        <f t="shared" si="23"/>
        <v>93631157</v>
      </c>
      <c r="AG26" s="3">
        <f t="shared" si="24"/>
        <v>93631157</v>
      </c>
      <c r="AH26" s="3">
        <f t="shared" si="25"/>
        <v>93631158</v>
      </c>
      <c r="AI26" s="3">
        <f t="shared" si="26"/>
        <v>93631158</v>
      </c>
      <c r="AJ26" s="3">
        <f t="shared" si="27"/>
        <v>0</v>
      </c>
      <c r="AK26" s="1">
        <f t="shared" si="10"/>
        <v>0</v>
      </c>
      <c r="AL26" s="1">
        <f t="shared" si="11"/>
        <v>4</v>
      </c>
      <c r="AM26" s="1">
        <f t="shared" si="12"/>
        <v>4</v>
      </c>
      <c r="AN26" s="1">
        <f t="shared" si="13"/>
        <v>5</v>
      </c>
      <c r="AO26" s="1">
        <f t="shared" si="14"/>
        <v>5</v>
      </c>
    </row>
    <row r="27" spans="1:41" x14ac:dyDescent="0.2">
      <c r="A27" s="46" t="s">
        <v>25</v>
      </c>
      <c r="B27" s="46">
        <v>2676</v>
      </c>
      <c r="C27" s="36" t="s">
        <v>1</v>
      </c>
      <c r="D27" s="36" t="s">
        <v>2</v>
      </c>
      <c r="E27" s="36" t="s">
        <v>90</v>
      </c>
      <c r="F27" s="36" t="s">
        <v>100</v>
      </c>
      <c r="G27" s="48" t="s">
        <v>1770</v>
      </c>
      <c r="H27" s="35" t="str" cm="1">
        <f t="array" ref="H27">Reverse2_6(O27)</f>
        <v>00-010101</v>
      </c>
      <c r="I27" s="44" cm="1">
        <f t="array" ref="I27">HEX2DEC(Reverse(P27))</f>
        <v>93631153</v>
      </c>
      <c r="J27" s="44" cm="1">
        <f t="array" ref="J27">IF(Q27&lt;&gt;0, HEX2DEC(Reverse(Q27))-$I27,"")</f>
        <v>5</v>
      </c>
      <c r="K27" s="44" cm="1">
        <f t="array" ref="K27">IF(R27&lt;&gt;0, HEX2DEC(Reverse(R27))-$I27,"")</f>
        <v>4</v>
      </c>
      <c r="L27" s="44" cm="1">
        <f t="array" ref="L27">IF(S27&lt;&gt;0, HEX2DEC(Reverse(S27))-$I27,"")</f>
        <v>6</v>
      </c>
      <c r="M27" s="44" cm="1">
        <f t="array" ref="M27">IF(T27&lt;&gt;0, HEX2DEC(Reverse(T27))-$I27,"")</f>
        <v>5</v>
      </c>
      <c r="O27" s="3">
        <v>1010100</v>
      </c>
      <c r="P27" s="3" t="s">
        <v>114</v>
      </c>
      <c r="Q27" s="3" t="s">
        <v>122</v>
      </c>
      <c r="R27" s="22" t="s">
        <v>121</v>
      </c>
      <c r="S27" s="3" t="s">
        <v>124</v>
      </c>
      <c r="T27" s="3" t="s">
        <v>122</v>
      </c>
      <c r="U27" s="3"/>
      <c r="V27" s="4" t="s">
        <v>1785</v>
      </c>
      <c r="Y27" s="3" t="str">
        <f>MID(P27,7,2)&amp;MID(P27,5,2)&amp;MID(P27,3,2)&amp;MID(P27,1,2)</f>
        <v>0594b2b1</v>
      </c>
      <c r="Z27" s="3" t="str">
        <f>MID(Q27,7,2)&amp;MID(Q27,5,2)&amp;MID(Q27,3,2)&amp;MID(Q27,1,2)</f>
        <v>0594b2b6</v>
      </c>
      <c r="AA27" s="3" t="str">
        <f t="shared" si="18"/>
        <v>0594b2b5</v>
      </c>
      <c r="AB27" s="3" t="str">
        <f t="shared" si="19"/>
        <v>0594b2b7</v>
      </c>
      <c r="AC27" s="3" t="str">
        <f t="shared" si="20"/>
        <v>0594b2b6</v>
      </c>
      <c r="AD27" s="3" t="str">
        <f t="shared" si="21"/>
        <v/>
      </c>
      <c r="AE27" s="3">
        <f t="shared" si="22"/>
        <v>93631153</v>
      </c>
      <c r="AF27" s="3">
        <f t="shared" si="23"/>
        <v>93631158</v>
      </c>
      <c r="AG27" s="3">
        <f t="shared" si="24"/>
        <v>93631157</v>
      </c>
      <c r="AH27" s="3">
        <f t="shared" si="25"/>
        <v>93631159</v>
      </c>
      <c r="AI27" s="3">
        <f t="shared" si="26"/>
        <v>93631158</v>
      </c>
      <c r="AJ27" s="3">
        <f t="shared" si="27"/>
        <v>0</v>
      </c>
      <c r="AK27" s="1">
        <f t="shared" si="10"/>
        <v>0</v>
      </c>
      <c r="AL27" s="1">
        <f t="shared" si="11"/>
        <v>5</v>
      </c>
      <c r="AM27" s="1">
        <f t="shared" si="12"/>
        <v>4</v>
      </c>
      <c r="AN27" s="1">
        <f t="shared" si="13"/>
        <v>6</v>
      </c>
      <c r="AO27" s="1">
        <f t="shared" si="14"/>
        <v>5</v>
      </c>
    </row>
    <row r="28" spans="1:41" x14ac:dyDescent="0.2">
      <c r="A28" s="46" t="s">
        <v>26</v>
      </c>
      <c r="B28" s="46">
        <v>2677</v>
      </c>
      <c r="C28" s="36" t="s">
        <v>1</v>
      </c>
      <c r="D28" s="36" t="s">
        <v>2</v>
      </c>
      <c r="E28" s="36" t="s">
        <v>90</v>
      </c>
      <c r="F28" s="36" t="s">
        <v>100</v>
      </c>
      <c r="G28" s="48" t="s">
        <v>1771</v>
      </c>
      <c r="H28" s="35" t="str" cm="1">
        <f t="array" ref="H28">Reverse2_6(O28)</f>
        <v>00-010101</v>
      </c>
      <c r="I28" s="44" cm="1">
        <f t="array" ref="I28">HEX2DEC(Reverse(P28))</f>
        <v>93631153</v>
      </c>
      <c r="J28" s="44" cm="1">
        <f t="array" ref="J28">IF(Q28&lt;&gt;0, HEX2DEC(Reverse(Q28))-$I28,"")</f>
        <v>6</v>
      </c>
      <c r="K28" s="44" cm="1">
        <f t="array" ref="K28">IF(R28&lt;&gt;0, HEX2DEC(Reverse(R28))-$I28,"")</f>
        <v>4</v>
      </c>
      <c r="L28" s="44" cm="1">
        <f t="array" ref="L28">IF(S28&lt;&gt;0, HEX2DEC(Reverse(S28))-$I28,"")</f>
        <v>7</v>
      </c>
      <c r="M28" s="44" cm="1">
        <f t="array" ref="M28">IF(T28&lt;&gt;0, HEX2DEC(Reverse(T28))-$I28,"")</f>
        <v>5</v>
      </c>
      <c r="O28" s="3">
        <v>1010100</v>
      </c>
      <c r="P28" s="3" t="s">
        <v>114</v>
      </c>
      <c r="Q28" s="37" t="s">
        <v>124</v>
      </c>
      <c r="R28" s="22" t="s">
        <v>121</v>
      </c>
      <c r="S28" s="3" t="s">
        <v>125</v>
      </c>
      <c r="T28" s="3" t="s">
        <v>122</v>
      </c>
      <c r="U28" s="3">
        <v>31313131</v>
      </c>
      <c r="V28" s="4" t="s">
        <v>123</v>
      </c>
      <c r="Y28" s="3" t="str">
        <f>MID(P28,7,2)&amp;MID(P28,5,2)&amp;MID(P28,3,2)&amp;MID(P28,1,2)</f>
        <v>0594b2b1</v>
      </c>
      <c r="Z28" s="3" t="str">
        <f>MID(Q28,7,2)&amp;MID(Q28,5,2)&amp;MID(Q28,3,2)&amp;MID(Q28,1,2)</f>
        <v>0594b2b7</v>
      </c>
      <c r="AA28" s="3" t="str">
        <f t="shared" si="18"/>
        <v>0594b2b5</v>
      </c>
      <c r="AB28" s="3" t="str">
        <f t="shared" si="19"/>
        <v>0594b2b8</v>
      </c>
      <c r="AC28" s="3" t="str">
        <f t="shared" si="20"/>
        <v>0594b2b6</v>
      </c>
      <c r="AD28" s="3" t="str">
        <f t="shared" si="21"/>
        <v>31313131</v>
      </c>
      <c r="AE28" s="3">
        <f t="shared" si="22"/>
        <v>93631153</v>
      </c>
      <c r="AF28" s="3">
        <f t="shared" si="23"/>
        <v>93631159</v>
      </c>
      <c r="AG28" s="3">
        <f t="shared" si="24"/>
        <v>93631157</v>
      </c>
      <c r="AH28" s="3">
        <f t="shared" si="25"/>
        <v>93631160</v>
      </c>
      <c r="AI28" s="3">
        <f t="shared" si="26"/>
        <v>93631158</v>
      </c>
      <c r="AJ28" s="3">
        <f t="shared" si="27"/>
        <v>825307441</v>
      </c>
      <c r="AK28" s="1">
        <f t="shared" si="10"/>
        <v>0</v>
      </c>
      <c r="AL28" s="1">
        <f t="shared" si="11"/>
        <v>6</v>
      </c>
      <c r="AM28" s="1">
        <f t="shared" si="12"/>
        <v>4</v>
      </c>
      <c r="AN28" s="1">
        <f t="shared" si="13"/>
        <v>7</v>
      </c>
      <c r="AO28" s="1">
        <f t="shared" si="14"/>
        <v>5</v>
      </c>
    </row>
    <row r="29" spans="1:41" x14ac:dyDescent="0.2">
      <c r="A29" s="46" t="s">
        <v>27</v>
      </c>
      <c r="B29" s="46">
        <v>2678</v>
      </c>
      <c r="C29" s="36" t="s">
        <v>1</v>
      </c>
      <c r="D29" s="36" t="s">
        <v>2</v>
      </c>
      <c r="E29" s="36" t="s">
        <v>90</v>
      </c>
      <c r="F29" s="36" t="s">
        <v>100</v>
      </c>
      <c r="G29" s="48" t="s">
        <v>1772</v>
      </c>
      <c r="H29" s="35" t="str" cm="1">
        <f t="array" ref="H29">Reverse2_6(O29)</f>
        <v>00-010101</v>
      </c>
      <c r="I29" s="44" cm="1">
        <f t="array" ref="I29">HEX2DEC(Reverse(P29))</f>
        <v>93631153</v>
      </c>
      <c r="J29" s="44" cm="1">
        <f t="array" ref="J29">IF(Q29&lt;&gt;0, HEX2DEC(Reverse(Q29))-$I29,"")</f>
        <v>7</v>
      </c>
      <c r="K29" s="44" cm="1">
        <f t="array" ref="K29">IF(R29&lt;&gt;0, HEX2DEC(Reverse(R29))-$I29,"")</f>
        <v>4</v>
      </c>
      <c r="L29" s="44" cm="1">
        <f t="array" ref="L29">IF(S29&lt;&gt;0, HEX2DEC(Reverse(S29))-$I29,"")</f>
        <v>8</v>
      </c>
      <c r="M29" s="44" cm="1">
        <f t="array" ref="M29">IF(T29&lt;&gt;0, HEX2DEC(Reverse(T29))-$I29,"")</f>
        <v>5</v>
      </c>
      <c r="O29" s="3">
        <v>1010100</v>
      </c>
      <c r="P29" s="3" t="s">
        <v>114</v>
      </c>
      <c r="Q29" s="40" t="s">
        <v>125</v>
      </c>
      <c r="R29" s="22" t="s">
        <v>121</v>
      </c>
      <c r="S29" s="3" t="s">
        <v>126</v>
      </c>
      <c r="T29" s="3" t="s">
        <v>122</v>
      </c>
      <c r="U29" s="3">
        <v>31313131</v>
      </c>
      <c r="V29" s="4" t="s">
        <v>123</v>
      </c>
      <c r="Y29" s="3" t="str">
        <f>MID(P29,7,2)&amp;MID(P29,5,2)&amp;MID(P29,3,2)&amp;MID(P29,1,2)</f>
        <v>0594b2b1</v>
      </c>
      <c r="Z29" s="3" t="str">
        <f>MID(Q29,7,2)&amp;MID(Q29,5,2)&amp;MID(Q29,3,2)&amp;MID(Q29,1,2)</f>
        <v>0594b2b8</v>
      </c>
      <c r="AA29" s="3" t="str">
        <f t="shared" si="18"/>
        <v>0594b2b5</v>
      </c>
      <c r="AB29" s="3" t="str">
        <f t="shared" si="19"/>
        <v>0594b2b9</v>
      </c>
      <c r="AC29" s="3" t="str">
        <f t="shared" si="20"/>
        <v>0594b2b6</v>
      </c>
      <c r="AD29" s="3" t="str">
        <f t="shared" si="21"/>
        <v>31313131</v>
      </c>
      <c r="AE29" s="3">
        <f t="shared" si="22"/>
        <v>93631153</v>
      </c>
      <c r="AF29" s="3">
        <f t="shared" si="23"/>
        <v>93631160</v>
      </c>
      <c r="AG29" s="3">
        <f t="shared" si="24"/>
        <v>93631157</v>
      </c>
      <c r="AH29" s="3">
        <f t="shared" si="25"/>
        <v>93631161</v>
      </c>
      <c r="AI29" s="3">
        <f t="shared" si="26"/>
        <v>93631158</v>
      </c>
      <c r="AJ29" s="3">
        <f t="shared" si="27"/>
        <v>825307441</v>
      </c>
      <c r="AK29" s="1">
        <f t="shared" si="10"/>
        <v>0</v>
      </c>
      <c r="AL29" s="1">
        <f t="shared" si="11"/>
        <v>7</v>
      </c>
      <c r="AM29" s="1">
        <f t="shared" si="12"/>
        <v>4</v>
      </c>
      <c r="AN29" s="1">
        <f t="shared" si="13"/>
        <v>8</v>
      </c>
      <c r="AO29" s="1">
        <f t="shared" si="14"/>
        <v>5</v>
      </c>
    </row>
    <row r="30" spans="1:41" x14ac:dyDescent="0.2">
      <c r="A30" s="46" t="s">
        <v>28</v>
      </c>
      <c r="B30" s="46">
        <v>2679</v>
      </c>
      <c r="C30" s="36" t="s">
        <v>1</v>
      </c>
      <c r="D30" s="36" t="s">
        <v>2</v>
      </c>
      <c r="E30" s="36" t="s">
        <v>90</v>
      </c>
      <c r="F30" s="36" t="s">
        <v>100</v>
      </c>
      <c r="G30" s="48" t="s">
        <v>1773</v>
      </c>
      <c r="H30" s="35" t="str" cm="1">
        <f t="array" ref="H30">Reverse2_6(O30)</f>
        <v>00-010101</v>
      </c>
      <c r="I30" s="44" cm="1">
        <f t="array" ref="I30">HEX2DEC(Reverse(P30))</f>
        <v>93631153</v>
      </c>
      <c r="J30" s="44" cm="1">
        <f t="array" ref="J30">IF(Q30&lt;&gt;0, HEX2DEC(Reverse(Q30))-$I30,"")</f>
        <v>8</v>
      </c>
      <c r="K30" s="44" cm="1">
        <f t="array" ref="K30">IF(R30&lt;&gt;0, HEX2DEC(Reverse(R30))-$I30,"")</f>
        <v>4</v>
      </c>
      <c r="L30" s="44" cm="1">
        <f t="array" ref="L30">IF(S30&lt;&gt;0, HEX2DEC(Reverse(S30))-$I30,"")</f>
        <v>9</v>
      </c>
      <c r="M30" s="44" cm="1">
        <f t="array" ref="M30">IF(T30&lt;&gt;0, HEX2DEC(Reverse(T30))-$I30,"")</f>
        <v>5</v>
      </c>
      <c r="O30" s="3">
        <v>1010100</v>
      </c>
      <c r="P30" s="3" t="s">
        <v>114</v>
      </c>
      <c r="Q30" s="26" t="s">
        <v>126</v>
      </c>
      <c r="R30" s="22" t="s">
        <v>121</v>
      </c>
      <c r="S30" s="3" t="s">
        <v>127</v>
      </c>
      <c r="T30" s="3" t="s">
        <v>122</v>
      </c>
      <c r="U30" s="3">
        <v>31313131</v>
      </c>
      <c r="V30" s="4" t="s">
        <v>123</v>
      </c>
      <c r="Y30" s="3" t="str">
        <f>MID(P30,7,2)&amp;MID(P30,5,2)&amp;MID(P30,3,2)&amp;MID(P30,1,2)</f>
        <v>0594b2b1</v>
      </c>
      <c r="Z30" s="3" t="str">
        <f>MID(Q30,7,2)&amp;MID(Q30,5,2)&amp;MID(Q30,3,2)&amp;MID(Q30,1,2)</f>
        <v>0594b2b9</v>
      </c>
      <c r="AA30" s="3" t="str">
        <f t="shared" si="18"/>
        <v>0594b2b5</v>
      </c>
      <c r="AB30" s="3" t="str">
        <f t="shared" si="19"/>
        <v>0594b2ba</v>
      </c>
      <c r="AC30" s="3" t="str">
        <f t="shared" si="20"/>
        <v>0594b2b6</v>
      </c>
      <c r="AD30" s="3" t="str">
        <f t="shared" si="21"/>
        <v>31313131</v>
      </c>
      <c r="AE30" s="3">
        <f t="shared" si="22"/>
        <v>93631153</v>
      </c>
      <c r="AF30" s="3">
        <f t="shared" si="23"/>
        <v>93631161</v>
      </c>
      <c r="AG30" s="3">
        <f t="shared" si="24"/>
        <v>93631157</v>
      </c>
      <c r="AH30" s="3">
        <f t="shared" si="25"/>
        <v>93631162</v>
      </c>
      <c r="AI30" s="3">
        <f t="shared" si="26"/>
        <v>93631158</v>
      </c>
      <c r="AJ30" s="3">
        <f t="shared" si="27"/>
        <v>825307441</v>
      </c>
      <c r="AK30" s="1">
        <f t="shared" si="10"/>
        <v>0</v>
      </c>
      <c r="AL30" s="1">
        <f t="shared" si="11"/>
        <v>8</v>
      </c>
      <c r="AM30" s="1">
        <f t="shared" si="12"/>
        <v>4</v>
      </c>
      <c r="AN30" s="1">
        <f t="shared" si="13"/>
        <v>9</v>
      </c>
      <c r="AO30" s="1">
        <f t="shared" si="14"/>
        <v>5</v>
      </c>
    </row>
    <row r="31" spans="1:41" x14ac:dyDescent="0.2">
      <c r="A31" s="46" t="s">
        <v>29</v>
      </c>
      <c r="B31" s="46">
        <v>2680</v>
      </c>
      <c r="C31" s="36" t="s">
        <v>1</v>
      </c>
      <c r="D31" s="36" t="s">
        <v>2</v>
      </c>
      <c r="E31" s="36" t="s">
        <v>90</v>
      </c>
      <c r="F31" s="36" t="s">
        <v>100</v>
      </c>
      <c r="G31" s="48" t="s">
        <v>1774</v>
      </c>
      <c r="H31" s="35" t="str" cm="1">
        <f t="array" ref="H31">Reverse2_6(O31)</f>
        <v>00-010101</v>
      </c>
      <c r="I31" s="44" cm="1">
        <f t="array" ref="I31">HEX2DEC(Reverse(P31))</f>
        <v>93631153</v>
      </c>
      <c r="J31" s="44" cm="1">
        <f t="array" ref="J31">IF(Q31&lt;&gt;0, HEX2DEC(Reverse(Q31))-$I31,"")</f>
        <v>9</v>
      </c>
      <c r="K31" s="44" cm="1">
        <f t="array" ref="K31">IF(R31&lt;&gt;0, HEX2DEC(Reverse(R31))-$I31,"")</f>
        <v>4</v>
      </c>
      <c r="L31" s="44" cm="1">
        <f t="array" ref="L31">IF(S31&lt;&gt;0, HEX2DEC(Reverse(S31))-$I31,"")</f>
        <v>10</v>
      </c>
      <c r="M31" s="44" cm="1">
        <f t="array" ref="M31">IF(T31&lt;&gt;0, HEX2DEC(Reverse(T31))-$I31,"")</f>
        <v>5</v>
      </c>
      <c r="O31" s="3">
        <v>1010100</v>
      </c>
      <c r="P31" s="3" t="s">
        <v>114</v>
      </c>
      <c r="Q31" s="13" t="s">
        <v>127</v>
      </c>
      <c r="R31" s="22" t="s">
        <v>121</v>
      </c>
      <c r="S31" s="3" t="s">
        <v>128</v>
      </c>
      <c r="T31" s="3" t="s">
        <v>122</v>
      </c>
      <c r="U31" s="3">
        <v>31313131</v>
      </c>
      <c r="V31" s="4" t="s">
        <v>123</v>
      </c>
      <c r="Y31" s="3" t="str">
        <f>MID(P31,7,2)&amp;MID(P31,5,2)&amp;MID(P31,3,2)&amp;MID(P31,1,2)</f>
        <v>0594b2b1</v>
      </c>
      <c r="Z31" s="3" t="str">
        <f>MID(Q31,7,2)&amp;MID(Q31,5,2)&amp;MID(Q31,3,2)&amp;MID(Q31,1,2)</f>
        <v>0594b2ba</v>
      </c>
      <c r="AA31" s="3" t="str">
        <f t="shared" si="18"/>
        <v>0594b2b5</v>
      </c>
      <c r="AB31" s="3" t="str">
        <f t="shared" si="19"/>
        <v>0594b2bb</v>
      </c>
      <c r="AC31" s="3" t="str">
        <f t="shared" si="20"/>
        <v>0594b2b6</v>
      </c>
      <c r="AD31" s="3" t="str">
        <f t="shared" si="21"/>
        <v>31313131</v>
      </c>
      <c r="AE31" s="3">
        <f t="shared" si="22"/>
        <v>93631153</v>
      </c>
      <c r="AF31" s="3">
        <f t="shared" si="23"/>
        <v>93631162</v>
      </c>
      <c r="AG31" s="3">
        <f t="shared" si="24"/>
        <v>93631157</v>
      </c>
      <c r="AH31" s="3">
        <f t="shared" si="25"/>
        <v>93631163</v>
      </c>
      <c r="AI31" s="3">
        <f t="shared" si="26"/>
        <v>93631158</v>
      </c>
      <c r="AJ31" s="3">
        <f t="shared" si="27"/>
        <v>825307441</v>
      </c>
      <c r="AK31" s="1">
        <f t="shared" si="10"/>
        <v>0</v>
      </c>
      <c r="AL31" s="1">
        <f t="shared" si="11"/>
        <v>9</v>
      </c>
      <c r="AM31" s="1">
        <f t="shared" si="12"/>
        <v>4</v>
      </c>
      <c r="AN31" s="1">
        <f t="shared" si="13"/>
        <v>10</v>
      </c>
      <c r="AO31" s="1">
        <f t="shared" si="14"/>
        <v>5</v>
      </c>
    </row>
    <row r="32" spans="1:41" x14ac:dyDescent="0.2">
      <c r="A32" s="46" t="s">
        <v>30</v>
      </c>
      <c r="B32" s="46">
        <v>2681</v>
      </c>
      <c r="C32" s="36" t="s">
        <v>1</v>
      </c>
      <c r="D32" s="36" t="s">
        <v>2</v>
      </c>
      <c r="E32" s="36" t="s">
        <v>90</v>
      </c>
      <c r="F32" s="36" t="s">
        <v>100</v>
      </c>
      <c r="G32" s="48" t="s">
        <v>1775</v>
      </c>
      <c r="H32" s="35" t="str" cm="1">
        <f t="array" ref="H32">Reverse2_6(O32)</f>
        <v>00-010101</v>
      </c>
      <c r="I32" s="44" cm="1">
        <f t="array" ref="I32">HEX2DEC(Reverse(P32))</f>
        <v>93631153</v>
      </c>
      <c r="J32" s="44" cm="1">
        <f t="array" ref="J32">IF(Q32&lt;&gt;0, HEX2DEC(Reverse(Q32))-$I32,"")</f>
        <v>10</v>
      </c>
      <c r="K32" s="44" cm="1">
        <f t="array" ref="K32">IF(R32&lt;&gt;0, HEX2DEC(Reverse(R32))-$I32,"")</f>
        <v>4</v>
      </c>
      <c r="L32" s="44" cm="1">
        <f t="array" ref="L32">IF(S32&lt;&gt;0, HEX2DEC(Reverse(S32))-$I32,"")</f>
        <v>11</v>
      </c>
      <c r="M32" s="44" cm="1">
        <f t="array" ref="M32">IF(T32&lt;&gt;0, HEX2DEC(Reverse(T32))-$I32,"")</f>
        <v>5</v>
      </c>
      <c r="O32" s="3">
        <v>1010100</v>
      </c>
      <c r="P32" s="3" t="s">
        <v>114</v>
      </c>
      <c r="Q32" s="38" t="s">
        <v>128</v>
      </c>
      <c r="R32" s="22" t="s">
        <v>121</v>
      </c>
      <c r="S32" s="3" t="s">
        <v>129</v>
      </c>
      <c r="T32" s="3" t="s">
        <v>122</v>
      </c>
      <c r="U32" s="3">
        <v>31313131</v>
      </c>
      <c r="V32" s="4" t="s">
        <v>123</v>
      </c>
      <c r="Y32" s="3" t="str">
        <f>MID(P32,7,2)&amp;MID(P32,5,2)&amp;MID(P32,3,2)&amp;MID(P32,1,2)</f>
        <v>0594b2b1</v>
      </c>
      <c r="Z32" s="3" t="str">
        <f>MID(Q32,7,2)&amp;MID(Q32,5,2)&amp;MID(Q32,3,2)&amp;MID(Q32,1,2)</f>
        <v>0594b2bb</v>
      </c>
      <c r="AA32" s="3" t="str">
        <f t="shared" si="18"/>
        <v>0594b2b5</v>
      </c>
      <c r="AB32" s="3" t="str">
        <f t="shared" si="19"/>
        <v>0594b2bc</v>
      </c>
      <c r="AC32" s="3" t="str">
        <f t="shared" si="20"/>
        <v>0594b2b6</v>
      </c>
      <c r="AD32" s="3" t="str">
        <f t="shared" si="21"/>
        <v>31313131</v>
      </c>
      <c r="AE32" s="3">
        <f t="shared" si="22"/>
        <v>93631153</v>
      </c>
      <c r="AF32" s="3">
        <f t="shared" si="23"/>
        <v>93631163</v>
      </c>
      <c r="AG32" s="3">
        <f t="shared" si="24"/>
        <v>93631157</v>
      </c>
      <c r="AH32" s="3">
        <f t="shared" si="25"/>
        <v>93631164</v>
      </c>
      <c r="AI32" s="3">
        <f t="shared" si="26"/>
        <v>93631158</v>
      </c>
      <c r="AJ32" s="3">
        <f t="shared" si="27"/>
        <v>825307441</v>
      </c>
      <c r="AK32" s="1">
        <f t="shared" si="10"/>
        <v>0</v>
      </c>
      <c r="AL32" s="1">
        <f t="shared" si="11"/>
        <v>10</v>
      </c>
      <c r="AM32" s="1">
        <f t="shared" si="12"/>
        <v>4</v>
      </c>
      <c r="AN32" s="1">
        <f t="shared" si="13"/>
        <v>11</v>
      </c>
      <c r="AO32" s="1">
        <f t="shared" si="14"/>
        <v>5</v>
      </c>
    </row>
    <row r="33" spans="1:41" x14ac:dyDescent="0.2">
      <c r="A33" s="46" t="s">
        <v>31</v>
      </c>
      <c r="B33" s="46">
        <v>2682</v>
      </c>
      <c r="C33" s="36" t="s">
        <v>1</v>
      </c>
      <c r="D33" s="36" t="s">
        <v>2</v>
      </c>
      <c r="E33" s="36" t="s">
        <v>90</v>
      </c>
      <c r="F33" s="36" t="s">
        <v>100</v>
      </c>
      <c r="G33" s="48" t="s">
        <v>1768</v>
      </c>
      <c r="H33" s="35" t="str" cm="1">
        <f t="array" ref="H33">Reverse2_6(O33)</f>
        <v>00-010101</v>
      </c>
      <c r="I33" s="44" cm="1">
        <f t="array" ref="I33">HEX2DEC(Reverse(P33))</f>
        <v>93631153</v>
      </c>
      <c r="J33" s="44" cm="1">
        <f t="array" ref="J33">IF(Q33&lt;&gt;0, HEX2DEC(Reverse(Q33))-$I33,"")</f>
        <v>11</v>
      </c>
      <c r="K33" s="44" cm="1">
        <f t="array" ref="K33">IF(R33&lt;&gt;0, HEX2DEC(Reverse(R33))-$I33,"")</f>
        <v>4</v>
      </c>
      <c r="L33" s="44" cm="1">
        <f t="array" ref="L33">IF(S33&lt;&gt;0, HEX2DEC(Reverse(S33))-$I33,"")</f>
        <v>12</v>
      </c>
      <c r="M33" s="44" cm="1">
        <f t="array" ref="M33">IF(T33&lt;&gt;0, HEX2DEC(Reverse(T33))-$I33,"")</f>
        <v>5</v>
      </c>
      <c r="O33" s="3">
        <v>1010100</v>
      </c>
      <c r="P33" s="3" t="s">
        <v>114</v>
      </c>
      <c r="Q33" s="23" t="s">
        <v>129</v>
      </c>
      <c r="R33" s="22" t="s">
        <v>121</v>
      </c>
      <c r="S33" s="3" t="s">
        <v>130</v>
      </c>
      <c r="T33" s="3" t="s">
        <v>122</v>
      </c>
      <c r="U33" s="3">
        <v>31313131</v>
      </c>
      <c r="V33" s="4" t="s">
        <v>123</v>
      </c>
      <c r="Y33" s="3" t="str">
        <f>MID(P33,7,2)&amp;MID(P33,5,2)&amp;MID(P33,3,2)&amp;MID(P33,1,2)</f>
        <v>0594b2b1</v>
      </c>
      <c r="Z33" s="3" t="str">
        <f>MID(Q33,7,2)&amp;MID(Q33,5,2)&amp;MID(Q33,3,2)&amp;MID(Q33,1,2)</f>
        <v>0594b2bc</v>
      </c>
      <c r="AA33" s="3" t="str">
        <f t="shared" si="18"/>
        <v>0594b2b5</v>
      </c>
      <c r="AB33" s="3" t="str">
        <f t="shared" si="19"/>
        <v>0594b2bd</v>
      </c>
      <c r="AC33" s="3" t="str">
        <f t="shared" si="20"/>
        <v>0594b2b6</v>
      </c>
      <c r="AD33" s="3" t="str">
        <f t="shared" si="21"/>
        <v>31313131</v>
      </c>
      <c r="AE33" s="3">
        <f t="shared" si="22"/>
        <v>93631153</v>
      </c>
      <c r="AF33" s="3">
        <f t="shared" si="23"/>
        <v>93631164</v>
      </c>
      <c r="AG33" s="3">
        <f t="shared" si="24"/>
        <v>93631157</v>
      </c>
      <c r="AH33" s="3">
        <f t="shared" si="25"/>
        <v>93631165</v>
      </c>
      <c r="AI33" s="3">
        <f t="shared" si="26"/>
        <v>93631158</v>
      </c>
      <c r="AJ33" s="3">
        <f t="shared" si="27"/>
        <v>825307441</v>
      </c>
      <c r="AK33" s="1">
        <f t="shared" si="10"/>
        <v>0</v>
      </c>
      <c r="AL33" s="1">
        <f t="shared" si="11"/>
        <v>11</v>
      </c>
      <c r="AM33" s="1">
        <f t="shared" si="12"/>
        <v>4</v>
      </c>
      <c r="AN33" s="1">
        <f t="shared" si="13"/>
        <v>12</v>
      </c>
      <c r="AO33" s="1">
        <f t="shared" si="14"/>
        <v>5</v>
      </c>
    </row>
    <row r="34" spans="1:41" x14ac:dyDescent="0.2">
      <c r="A34" s="46" t="s">
        <v>32</v>
      </c>
      <c r="B34" s="46">
        <v>2685</v>
      </c>
      <c r="C34" s="36" t="s">
        <v>1</v>
      </c>
      <c r="D34" s="36" t="s">
        <v>2</v>
      </c>
      <c r="E34" s="36" t="s">
        <v>90</v>
      </c>
      <c r="F34" s="36" t="s">
        <v>102</v>
      </c>
      <c r="G34" s="48" t="s">
        <v>1767</v>
      </c>
      <c r="H34" s="35" t="str" cm="1">
        <f t="array" ref="H34">Reverse2_6(O34)</f>
        <v>00-010101</v>
      </c>
      <c r="I34" s="44" cm="1">
        <f t="array" ref="I34">HEX2DEC(Reverse(P34))</f>
        <v>93631153</v>
      </c>
      <c r="J34" s="44" cm="1">
        <f t="array" ref="J34">IF(Q34&lt;&gt;0, HEX2DEC(Reverse(Q34))-$I34,"")</f>
        <v>12</v>
      </c>
      <c r="K34" s="44" cm="1">
        <f t="array" ref="K34">IF(R34&lt;&gt;0, HEX2DEC(Reverse(R34))-$I34,"")</f>
        <v>4</v>
      </c>
      <c r="L34" s="44" cm="1">
        <f t="array" ref="L34">IF(S34&lt;&gt;0, HEX2DEC(Reverse(S34))-$I34,"")</f>
        <v>13</v>
      </c>
      <c r="M34" s="44" cm="1">
        <f t="array" ref="M34">IF(T34&lt;&gt;0, HEX2DEC(Reverse(T34))-$I34,"")</f>
        <v>5</v>
      </c>
      <c r="O34" s="3">
        <v>1010100</v>
      </c>
      <c r="P34" s="3" t="s">
        <v>114</v>
      </c>
      <c r="Q34" s="39" t="s">
        <v>130</v>
      </c>
      <c r="R34" s="22" t="s">
        <v>121</v>
      </c>
      <c r="S34" s="3" t="s">
        <v>131</v>
      </c>
      <c r="T34" s="3" t="s">
        <v>122</v>
      </c>
      <c r="U34" s="3">
        <v>31313131</v>
      </c>
      <c r="V34" s="34" t="s">
        <v>1766</v>
      </c>
      <c r="Y34" s="3" t="str">
        <f>MID(P34,7,2)&amp;MID(P34,5,2)&amp;MID(P34,3,2)&amp;MID(P34,1,2)</f>
        <v>0594b2b1</v>
      </c>
      <c r="Z34" s="3" t="str">
        <f>MID(Q34,7,2)&amp;MID(Q34,5,2)&amp;MID(Q34,3,2)&amp;MID(Q34,1,2)</f>
        <v>0594b2bd</v>
      </c>
      <c r="AA34" s="3" t="str">
        <f t="shared" si="18"/>
        <v>0594b2b5</v>
      </c>
      <c r="AB34" s="3" t="str">
        <f t="shared" si="19"/>
        <v>0594b2be</v>
      </c>
      <c r="AC34" s="3" t="str">
        <f t="shared" si="20"/>
        <v>0594b2b6</v>
      </c>
      <c r="AD34" s="3" t="str">
        <f t="shared" si="21"/>
        <v>31313131</v>
      </c>
      <c r="AE34" s="3">
        <f t="shared" si="22"/>
        <v>93631153</v>
      </c>
      <c r="AF34" s="3">
        <f t="shared" si="23"/>
        <v>93631165</v>
      </c>
      <c r="AG34" s="3">
        <f t="shared" si="24"/>
        <v>93631157</v>
      </c>
      <c r="AH34" s="3">
        <f t="shared" si="25"/>
        <v>93631166</v>
      </c>
      <c r="AI34" s="3">
        <f t="shared" si="26"/>
        <v>93631158</v>
      </c>
      <c r="AJ34" s="3">
        <f t="shared" si="27"/>
        <v>825307441</v>
      </c>
      <c r="AK34" s="1">
        <f t="shared" si="10"/>
        <v>0</v>
      </c>
      <c r="AL34" s="1">
        <f t="shared" si="11"/>
        <v>12</v>
      </c>
      <c r="AM34" s="1">
        <f t="shared" si="12"/>
        <v>4</v>
      </c>
      <c r="AN34" s="1">
        <f t="shared" si="13"/>
        <v>13</v>
      </c>
      <c r="AO34" s="1">
        <f t="shared" si="14"/>
        <v>5</v>
      </c>
    </row>
    <row r="35" spans="1:41" x14ac:dyDescent="0.2">
      <c r="A35" s="24" t="s">
        <v>33</v>
      </c>
      <c r="B35" s="24">
        <v>2696</v>
      </c>
      <c r="C35" s="25" t="s">
        <v>2</v>
      </c>
      <c r="D35" s="25" t="s">
        <v>1</v>
      </c>
      <c r="E35" s="25" t="s">
        <v>92</v>
      </c>
      <c r="F35" s="25" t="s">
        <v>94</v>
      </c>
      <c r="G35" s="25" t="s">
        <v>1777</v>
      </c>
      <c r="H35" s="26" t="str" cm="1">
        <f t="array" ref="H35">Reverse2_6(O35)</f>
        <v>00-010201</v>
      </c>
      <c r="I35" s="43" cm="1">
        <f t="array" ref="I35">HEX2DEC(Reverse(P35))</f>
        <v>93631153</v>
      </c>
      <c r="J35" s="43" cm="1">
        <f t="array" ref="J35">IF(Q35&lt;&gt;0, HEX2DEC(Reverse(Q35))-$I35,"")</f>
        <v>4</v>
      </c>
      <c r="K35" s="43" cm="1">
        <f t="array" ref="K35">IF(R35&lt;&gt;0, HEX2DEC(Reverse(R35))-$I35,"")</f>
        <v>2</v>
      </c>
      <c r="L35" s="43" t="str" cm="1">
        <f t="array" ref="L35">IF(S35&lt;&gt;0, HEX2DEC(Reverse(S35))-$I35,"")</f>
        <v/>
      </c>
      <c r="M35" s="43" cm="1">
        <f t="array" ref="M35">IF(T35&lt;&gt;0, HEX2DEC(Reverse(T35))-$I35,"")</f>
        <v>3</v>
      </c>
      <c r="O35" s="26">
        <v>1020100</v>
      </c>
      <c r="P35" s="26" t="s">
        <v>114</v>
      </c>
      <c r="Q35" s="26" t="s">
        <v>121</v>
      </c>
      <c r="R35" s="17" t="s">
        <v>118</v>
      </c>
      <c r="S35" s="26">
        <v>0</v>
      </c>
      <c r="T35" s="26" t="s">
        <v>119</v>
      </c>
      <c r="U35" s="3"/>
      <c r="V35" s="4"/>
      <c r="Y35" s="3" t="str">
        <f>MID(P35,7,2)&amp;MID(P35,5,2)&amp;MID(P35,3,2)&amp;MID(P35,1,2)</f>
        <v>0594b2b1</v>
      </c>
      <c r="Z35" s="3" t="str">
        <f>MID(Q35,7,2)&amp;MID(Q35,5,2)&amp;MID(Q35,3,2)&amp;MID(Q35,1,2)</f>
        <v>0594b2b5</v>
      </c>
      <c r="AA35" s="3" t="str">
        <f t="shared" si="18"/>
        <v>0594b2b3</v>
      </c>
      <c r="AB35" s="3" t="str">
        <f t="shared" si="19"/>
        <v>0</v>
      </c>
      <c r="AC35" s="3" t="str">
        <f t="shared" si="20"/>
        <v>0594b2b4</v>
      </c>
      <c r="AD35" s="3" t="str">
        <f t="shared" si="21"/>
        <v/>
      </c>
      <c r="AE35" s="3">
        <f t="shared" si="22"/>
        <v>93631153</v>
      </c>
      <c r="AF35" s="3">
        <f t="shared" si="23"/>
        <v>93631157</v>
      </c>
      <c r="AG35" s="3">
        <f t="shared" si="24"/>
        <v>93631155</v>
      </c>
      <c r="AH35" s="3">
        <f t="shared" si="25"/>
        <v>0</v>
      </c>
      <c r="AI35" s="3">
        <f t="shared" si="26"/>
        <v>93631156</v>
      </c>
      <c r="AJ35" s="3">
        <f t="shared" si="27"/>
        <v>0</v>
      </c>
      <c r="AK35" s="1">
        <f t="shared" si="10"/>
        <v>0</v>
      </c>
      <c r="AL35" s="1">
        <f t="shared" si="11"/>
        <v>4</v>
      </c>
      <c r="AM35" s="1">
        <f t="shared" si="12"/>
        <v>2</v>
      </c>
      <c r="AN35" s="1">
        <f t="shared" si="13"/>
        <v>-93631153</v>
      </c>
      <c r="AO35" s="1">
        <f t="shared" si="14"/>
        <v>3</v>
      </c>
    </row>
    <row r="36" spans="1:41" x14ac:dyDescent="0.2">
      <c r="A36" s="24" t="s">
        <v>34</v>
      </c>
      <c r="B36" s="24">
        <v>2697</v>
      </c>
      <c r="C36" s="25" t="s">
        <v>2</v>
      </c>
      <c r="D36" s="25" t="s">
        <v>1</v>
      </c>
      <c r="E36" s="25" t="s">
        <v>92</v>
      </c>
      <c r="F36" s="25" t="s">
        <v>94</v>
      </c>
      <c r="G36" s="25" t="s">
        <v>1777</v>
      </c>
      <c r="H36" s="26" t="str" cm="1">
        <f t="array" ref="H36">Reverse2_6(O36)</f>
        <v>00-010201</v>
      </c>
      <c r="I36" s="43" cm="1">
        <f t="array" ref="I36">HEX2DEC(Reverse(P36))</f>
        <v>93631153</v>
      </c>
      <c r="J36" s="43" cm="1">
        <f t="array" ref="J36">IF(Q36&lt;&gt;0, HEX2DEC(Reverse(Q36))-$I36,"")</f>
        <v>4</v>
      </c>
      <c r="K36" s="43" cm="1">
        <f t="array" ref="K36">IF(R36&lt;&gt;0, HEX2DEC(Reverse(R36))-$I36,"")</f>
        <v>3</v>
      </c>
      <c r="L36" s="43" t="str" cm="1">
        <f t="array" ref="L36">IF(S36&lt;&gt;0, HEX2DEC(Reverse(S36))-$I36,"")</f>
        <v/>
      </c>
      <c r="M36" s="43" cm="1">
        <f t="array" ref="M36">IF(T36&lt;&gt;0, HEX2DEC(Reverse(T36))-$I36,"")</f>
        <v>4</v>
      </c>
      <c r="O36" s="26">
        <v>1020100</v>
      </c>
      <c r="P36" s="26" t="s">
        <v>114</v>
      </c>
      <c r="Q36" s="26" t="s">
        <v>121</v>
      </c>
      <c r="R36" s="30" t="s">
        <v>119</v>
      </c>
      <c r="S36" s="26">
        <v>0</v>
      </c>
      <c r="T36" s="26" t="s">
        <v>121</v>
      </c>
      <c r="U36" s="3"/>
      <c r="V36" s="4"/>
      <c r="Y36" s="3" t="str">
        <f>MID(P36,7,2)&amp;MID(P36,5,2)&amp;MID(P36,3,2)&amp;MID(P36,1,2)</f>
        <v>0594b2b1</v>
      </c>
      <c r="Z36" s="3" t="str">
        <f>MID(Q36,7,2)&amp;MID(Q36,5,2)&amp;MID(Q36,3,2)&amp;MID(Q36,1,2)</f>
        <v>0594b2b5</v>
      </c>
      <c r="AA36" s="3" t="str">
        <f t="shared" si="18"/>
        <v>0594b2b4</v>
      </c>
      <c r="AB36" s="3" t="str">
        <f t="shared" si="19"/>
        <v>0</v>
      </c>
      <c r="AC36" s="3" t="str">
        <f t="shared" si="20"/>
        <v>0594b2b5</v>
      </c>
      <c r="AD36" s="3" t="str">
        <f t="shared" si="21"/>
        <v/>
      </c>
      <c r="AE36" s="3">
        <f t="shared" si="22"/>
        <v>93631153</v>
      </c>
      <c r="AF36" s="3">
        <f t="shared" si="23"/>
        <v>93631157</v>
      </c>
      <c r="AG36" s="3">
        <f t="shared" si="24"/>
        <v>93631156</v>
      </c>
      <c r="AH36" s="3">
        <f t="shared" si="25"/>
        <v>0</v>
      </c>
      <c r="AI36" s="3">
        <f t="shared" si="26"/>
        <v>93631157</v>
      </c>
      <c r="AJ36" s="3">
        <f t="shared" si="27"/>
        <v>0</v>
      </c>
      <c r="AK36" s="1">
        <f t="shared" si="10"/>
        <v>0</v>
      </c>
      <c r="AL36" s="1">
        <f t="shared" si="11"/>
        <v>4</v>
      </c>
      <c r="AM36" s="1">
        <f t="shared" si="12"/>
        <v>3</v>
      </c>
      <c r="AN36" s="1">
        <f t="shared" si="13"/>
        <v>-93631153</v>
      </c>
      <c r="AO36" s="1">
        <f t="shared" si="14"/>
        <v>4</v>
      </c>
    </row>
    <row r="37" spans="1:41" x14ac:dyDescent="0.2">
      <c r="A37" s="24" t="s">
        <v>35</v>
      </c>
      <c r="B37" s="24">
        <v>2700</v>
      </c>
      <c r="C37" s="25" t="s">
        <v>2</v>
      </c>
      <c r="D37" s="25" t="s">
        <v>1</v>
      </c>
      <c r="E37" s="25" t="s">
        <v>92</v>
      </c>
      <c r="F37" s="25" t="s">
        <v>94</v>
      </c>
      <c r="G37" s="25" t="s">
        <v>1777</v>
      </c>
      <c r="H37" s="26" t="str" cm="1">
        <f t="array" ref="H37">Reverse2_6(O37)</f>
        <v>00-010201</v>
      </c>
      <c r="I37" s="43" cm="1">
        <f t="array" ref="I37">HEX2DEC(Reverse(P37))</f>
        <v>93631153</v>
      </c>
      <c r="J37" s="43" cm="1">
        <f t="array" ref="J37">IF(Q37&lt;&gt;0, HEX2DEC(Reverse(Q37))-$I37,"")</f>
        <v>4</v>
      </c>
      <c r="K37" s="43" cm="1">
        <f t="array" ref="K37">IF(R37&lt;&gt;0, HEX2DEC(Reverse(R37))-$I37,"")</f>
        <v>4</v>
      </c>
      <c r="L37" s="43" t="str" cm="1">
        <f t="array" ref="L37">IF(S37&lt;&gt;0, HEX2DEC(Reverse(S37))-$I37,"")</f>
        <v/>
      </c>
      <c r="M37" s="43" cm="1">
        <f t="array" ref="M37">IF(T37&lt;&gt;0, HEX2DEC(Reverse(T37))-$I37,"")</f>
        <v>5</v>
      </c>
      <c r="O37" s="26">
        <v>1020100</v>
      </c>
      <c r="P37" s="26" t="s">
        <v>114</v>
      </c>
      <c r="Q37" s="26" t="s">
        <v>121</v>
      </c>
      <c r="R37" s="35" t="s">
        <v>121</v>
      </c>
      <c r="S37" s="26">
        <v>0</v>
      </c>
      <c r="T37" s="26" t="s">
        <v>122</v>
      </c>
      <c r="U37" s="3"/>
      <c r="V37" s="4"/>
      <c r="Y37" s="3" t="str">
        <f>MID(P37,7,2)&amp;MID(P37,5,2)&amp;MID(P37,3,2)&amp;MID(P37,1,2)</f>
        <v>0594b2b1</v>
      </c>
      <c r="Z37" s="3" t="str">
        <f>MID(Q37,7,2)&amp;MID(Q37,5,2)&amp;MID(Q37,3,2)&amp;MID(Q37,1,2)</f>
        <v>0594b2b5</v>
      </c>
      <c r="AA37" s="3" t="str">
        <f t="shared" si="18"/>
        <v>0594b2b5</v>
      </c>
      <c r="AB37" s="3" t="str">
        <f t="shared" si="19"/>
        <v>0</v>
      </c>
      <c r="AC37" s="3" t="str">
        <f t="shared" si="20"/>
        <v>0594b2b6</v>
      </c>
      <c r="AD37" s="3" t="str">
        <f t="shared" si="21"/>
        <v/>
      </c>
      <c r="AE37" s="3">
        <f t="shared" si="22"/>
        <v>93631153</v>
      </c>
      <c r="AF37" s="3">
        <f t="shared" si="23"/>
        <v>93631157</v>
      </c>
      <c r="AG37" s="3">
        <f t="shared" si="24"/>
        <v>93631157</v>
      </c>
      <c r="AH37" s="3">
        <f t="shared" si="25"/>
        <v>0</v>
      </c>
      <c r="AI37" s="3">
        <f t="shared" si="26"/>
        <v>93631158</v>
      </c>
      <c r="AJ37" s="3">
        <f t="shared" si="27"/>
        <v>0</v>
      </c>
      <c r="AK37" s="1">
        <f t="shared" si="10"/>
        <v>0</v>
      </c>
      <c r="AL37" s="1">
        <f t="shared" si="11"/>
        <v>4</v>
      </c>
      <c r="AM37" s="1">
        <f t="shared" si="12"/>
        <v>4</v>
      </c>
      <c r="AN37" s="1">
        <f t="shared" si="13"/>
        <v>-93631153</v>
      </c>
      <c r="AO37" s="1">
        <f t="shared" si="14"/>
        <v>5</v>
      </c>
    </row>
    <row r="38" spans="1:41" x14ac:dyDescent="0.2">
      <c r="A38" s="16" t="s">
        <v>36</v>
      </c>
      <c r="B38" s="16">
        <v>2706</v>
      </c>
      <c r="C38" s="15" t="s">
        <v>2</v>
      </c>
      <c r="D38" s="15" t="s">
        <v>1</v>
      </c>
      <c r="E38" s="15" t="s">
        <v>92</v>
      </c>
      <c r="F38" s="15" t="s">
        <v>103</v>
      </c>
      <c r="G38" s="15" t="s">
        <v>1761</v>
      </c>
      <c r="H38" s="17" t="str" cm="1">
        <f t="array" ref="H38">Reverse2_6(O38)</f>
        <v>00-010101</v>
      </c>
      <c r="I38" s="18" cm="1">
        <f t="array" ref="I38">HEX2DEC(Reverse(P38))</f>
        <v>93631153</v>
      </c>
      <c r="J38" s="18" cm="1">
        <f t="array" ref="J38">IF(Q38&lt;&gt;0, HEX2DEC(Reverse(Q38))-$I38,"")</f>
        <v>5</v>
      </c>
      <c r="K38" s="18" cm="1">
        <f t="array" ref="K38">IF(R38&lt;&gt;0, HEX2DEC(Reverse(R38))-$I38,"")</f>
        <v>5</v>
      </c>
      <c r="L38" s="18" cm="1">
        <f t="array" ref="L38">IF(S38&lt;&gt;0, HEX2DEC(Reverse(S38))-$I38,"")</f>
        <v>6</v>
      </c>
      <c r="M38" s="18" cm="1">
        <f t="array" ref="M38">IF(T38&lt;&gt;0, HEX2DEC(Reverse(T38))-$I38,"")</f>
        <v>6</v>
      </c>
      <c r="O38" s="3">
        <v>1010100</v>
      </c>
      <c r="P38" s="3" t="s">
        <v>114</v>
      </c>
      <c r="Q38" s="3" t="s">
        <v>122</v>
      </c>
      <c r="R38" s="6" t="s">
        <v>122</v>
      </c>
      <c r="S38" s="3" t="s">
        <v>124</v>
      </c>
      <c r="T38" s="3" t="s">
        <v>124</v>
      </c>
      <c r="U38" s="3">
        <v>31313131</v>
      </c>
      <c r="V38" s="4" t="s">
        <v>132</v>
      </c>
      <c r="Y38" s="3" t="str">
        <f>MID(P38,7,2)&amp;MID(P38,5,2)&amp;MID(P38,3,2)&amp;MID(P38,1,2)</f>
        <v>0594b2b1</v>
      </c>
      <c r="Z38" s="3" t="str">
        <f>MID(Q38,7,2)&amp;MID(Q38,5,2)&amp;MID(Q38,3,2)&amp;MID(Q38,1,2)</f>
        <v>0594b2b6</v>
      </c>
      <c r="AA38" s="3" t="str">
        <f t="shared" si="18"/>
        <v>0594b2b6</v>
      </c>
      <c r="AB38" s="3" t="str">
        <f t="shared" si="19"/>
        <v>0594b2b7</v>
      </c>
      <c r="AC38" s="3" t="str">
        <f t="shared" si="20"/>
        <v>0594b2b7</v>
      </c>
      <c r="AD38" s="3" t="str">
        <f t="shared" si="21"/>
        <v>31313131</v>
      </c>
      <c r="AE38" s="3">
        <f t="shared" si="22"/>
        <v>93631153</v>
      </c>
      <c r="AF38" s="3">
        <f t="shared" si="23"/>
        <v>93631158</v>
      </c>
      <c r="AG38" s="3">
        <f t="shared" si="24"/>
        <v>93631158</v>
      </c>
      <c r="AH38" s="3">
        <f t="shared" si="25"/>
        <v>93631159</v>
      </c>
      <c r="AI38" s="3">
        <f t="shared" si="26"/>
        <v>93631159</v>
      </c>
      <c r="AJ38" s="3">
        <f t="shared" si="27"/>
        <v>825307441</v>
      </c>
      <c r="AK38" s="1">
        <f t="shared" si="10"/>
        <v>0</v>
      </c>
      <c r="AL38" s="1">
        <f t="shared" si="11"/>
        <v>5</v>
      </c>
      <c r="AM38" s="1">
        <f t="shared" si="12"/>
        <v>5</v>
      </c>
      <c r="AN38" s="1">
        <f t="shared" si="13"/>
        <v>6</v>
      </c>
      <c r="AO38" s="1">
        <f t="shared" si="14"/>
        <v>6</v>
      </c>
    </row>
    <row r="39" spans="1:41" x14ac:dyDescent="0.2">
      <c r="A39" s="24" t="s">
        <v>37</v>
      </c>
      <c r="B39" s="24">
        <v>2707</v>
      </c>
      <c r="C39" s="25" t="s">
        <v>2</v>
      </c>
      <c r="D39" s="25" t="s">
        <v>1</v>
      </c>
      <c r="E39" s="25" t="s">
        <v>92</v>
      </c>
      <c r="F39" s="25" t="s">
        <v>94</v>
      </c>
      <c r="G39" s="25" t="s">
        <v>1777</v>
      </c>
      <c r="H39" s="26" t="str" cm="1">
        <f t="array" ref="H39">Reverse2_6(O39)</f>
        <v>00-010201</v>
      </c>
      <c r="I39" s="43" cm="1">
        <f t="array" ref="I39">HEX2DEC(Reverse(P39))</f>
        <v>93631153</v>
      </c>
      <c r="J39" s="43" cm="1">
        <f t="array" ref="J39">IF(Q39&lt;&gt;0, HEX2DEC(Reverse(Q39))-$I39,"")</f>
        <v>5</v>
      </c>
      <c r="K39" s="43" cm="1">
        <f t="array" ref="K39">IF(R39&lt;&gt;0, HEX2DEC(Reverse(R39))-$I39,"")</f>
        <v>6</v>
      </c>
      <c r="L39" s="43" t="str" cm="1">
        <f t="array" ref="L39">IF(S39&lt;&gt;0, HEX2DEC(Reverse(S39))-$I39,"")</f>
        <v/>
      </c>
      <c r="M39" s="43" cm="1">
        <f t="array" ref="M39">IF(T39&lt;&gt;0, HEX2DEC(Reverse(T39))-$I39,"")</f>
        <v>7</v>
      </c>
      <c r="O39" s="26">
        <v>1020100</v>
      </c>
      <c r="P39" s="26" t="s">
        <v>114</v>
      </c>
      <c r="Q39" s="26" t="s">
        <v>122</v>
      </c>
      <c r="R39" s="37" t="s">
        <v>124</v>
      </c>
      <c r="S39" s="26">
        <v>0</v>
      </c>
      <c r="T39" s="26" t="s">
        <v>125</v>
      </c>
      <c r="U39" s="3"/>
      <c r="V39" s="4"/>
      <c r="Y39" s="3" t="str">
        <f>MID(P39,7,2)&amp;MID(P39,5,2)&amp;MID(P39,3,2)&amp;MID(P39,1,2)</f>
        <v>0594b2b1</v>
      </c>
      <c r="Z39" s="3" t="str">
        <f>MID(Q39,7,2)&amp;MID(Q39,5,2)&amp;MID(Q39,3,2)&amp;MID(Q39,1,2)</f>
        <v>0594b2b6</v>
      </c>
      <c r="AA39" s="3" t="str">
        <f t="shared" si="18"/>
        <v>0594b2b7</v>
      </c>
      <c r="AB39" s="3" t="str">
        <f t="shared" si="19"/>
        <v>0</v>
      </c>
      <c r="AC39" s="3" t="str">
        <f t="shared" si="20"/>
        <v>0594b2b8</v>
      </c>
      <c r="AD39" s="3" t="str">
        <f t="shared" si="21"/>
        <v/>
      </c>
      <c r="AE39" s="3">
        <f t="shared" si="22"/>
        <v>93631153</v>
      </c>
      <c r="AF39" s="3">
        <f t="shared" si="23"/>
        <v>93631158</v>
      </c>
      <c r="AG39" s="3">
        <f t="shared" si="24"/>
        <v>93631159</v>
      </c>
      <c r="AH39" s="3">
        <f t="shared" si="25"/>
        <v>0</v>
      </c>
      <c r="AI39" s="3">
        <f t="shared" si="26"/>
        <v>93631160</v>
      </c>
      <c r="AJ39" s="3">
        <f t="shared" si="27"/>
        <v>0</v>
      </c>
      <c r="AK39" s="1">
        <f t="shared" si="10"/>
        <v>0</v>
      </c>
      <c r="AL39" s="1">
        <f t="shared" si="11"/>
        <v>5</v>
      </c>
      <c r="AM39" s="1">
        <f t="shared" si="12"/>
        <v>6</v>
      </c>
      <c r="AN39" s="1">
        <f t="shared" si="13"/>
        <v>-93631153</v>
      </c>
      <c r="AO39" s="1">
        <f t="shared" si="14"/>
        <v>7</v>
      </c>
    </row>
    <row r="40" spans="1:41" x14ac:dyDescent="0.2">
      <c r="A40" s="20" t="s">
        <v>38</v>
      </c>
      <c r="B40" s="20">
        <v>2709</v>
      </c>
      <c r="C40" s="21" t="s">
        <v>1</v>
      </c>
      <c r="D40" s="21" t="s">
        <v>2</v>
      </c>
      <c r="E40" s="21" t="s">
        <v>90</v>
      </c>
      <c r="F40" s="21" t="s">
        <v>94</v>
      </c>
      <c r="G40" s="21" t="s">
        <v>1778</v>
      </c>
      <c r="H40" s="22" t="str" cm="1">
        <f t="array" ref="H40">Reverse2_6(O40)</f>
        <v>00-010201</v>
      </c>
      <c r="I40" s="45" cm="1">
        <f t="array" ref="I40">HEX2DEC(Reverse(P40))</f>
        <v>93631153</v>
      </c>
      <c r="J40" s="45" cm="1">
        <f t="array" ref="J40">IF(Q40&lt;&gt;0, HEX2DEC(Reverse(Q40))-$I40,"")</f>
        <v>12</v>
      </c>
      <c r="K40" s="45" cm="1">
        <f t="array" ref="K40">IF(R40&lt;&gt;0, HEX2DEC(Reverse(R40))-$I40,"")</f>
        <v>5</v>
      </c>
      <c r="L40" s="45" t="str" cm="1">
        <f t="array" ref="L40">IF(S40&lt;&gt;0, HEX2DEC(Reverse(S40))-$I40,"")</f>
        <v/>
      </c>
      <c r="M40" s="45" cm="1">
        <f t="array" ref="M40">IF(T40&lt;&gt;0, HEX2DEC(Reverse(T40))-$I40,"")</f>
        <v>6</v>
      </c>
      <c r="O40" s="3">
        <v>1020100</v>
      </c>
      <c r="P40" s="3" t="s">
        <v>114</v>
      </c>
      <c r="Q40" s="3" t="s">
        <v>130</v>
      </c>
      <c r="R40" s="3" t="s">
        <v>122</v>
      </c>
      <c r="S40" s="3">
        <v>0</v>
      </c>
      <c r="T40" s="3" t="s">
        <v>124</v>
      </c>
      <c r="U40" s="3"/>
      <c r="Y40" s="3" t="str">
        <f>MID(P40,7,2)&amp;MID(P40,5,2)&amp;MID(P40,3,2)&amp;MID(P40,1,2)</f>
        <v>0594b2b1</v>
      </c>
      <c r="Z40" s="3" t="str">
        <f>MID(Q40,7,2)&amp;MID(Q40,5,2)&amp;MID(Q40,3,2)&amp;MID(Q40,1,2)</f>
        <v>0594b2bd</v>
      </c>
      <c r="AA40" s="3" t="str">
        <f t="shared" si="18"/>
        <v>0594b2b6</v>
      </c>
      <c r="AB40" s="3" t="str">
        <f t="shared" si="19"/>
        <v>0</v>
      </c>
      <c r="AC40" s="3" t="str">
        <f t="shared" si="20"/>
        <v>0594b2b7</v>
      </c>
      <c r="AD40" s="3" t="str">
        <f t="shared" si="21"/>
        <v/>
      </c>
      <c r="AE40" s="3">
        <f t="shared" si="22"/>
        <v>93631153</v>
      </c>
      <c r="AF40" s="3">
        <f t="shared" si="23"/>
        <v>93631165</v>
      </c>
      <c r="AG40" s="3">
        <f t="shared" si="24"/>
        <v>93631158</v>
      </c>
      <c r="AH40" s="3">
        <f t="shared" si="25"/>
        <v>0</v>
      </c>
      <c r="AI40" s="3">
        <f t="shared" si="26"/>
        <v>93631159</v>
      </c>
      <c r="AJ40" s="3">
        <f t="shared" si="27"/>
        <v>0</v>
      </c>
      <c r="AK40" s="1">
        <f t="shared" si="10"/>
        <v>0</v>
      </c>
      <c r="AL40" s="1">
        <f t="shared" si="11"/>
        <v>12</v>
      </c>
      <c r="AM40" s="1">
        <f t="shared" si="12"/>
        <v>5</v>
      </c>
      <c r="AN40" s="1">
        <f t="shared" si="13"/>
        <v>-93631153</v>
      </c>
      <c r="AO40" s="1">
        <f t="shared" si="14"/>
        <v>6</v>
      </c>
    </row>
    <row r="41" spans="1:41" x14ac:dyDescent="0.2">
      <c r="A41" s="24" t="s">
        <v>39</v>
      </c>
      <c r="B41" s="24">
        <v>2710</v>
      </c>
      <c r="C41" s="25" t="s">
        <v>2</v>
      </c>
      <c r="D41" s="25" t="s">
        <v>1</v>
      </c>
      <c r="E41" s="25" t="s">
        <v>92</v>
      </c>
      <c r="F41" s="25" t="s">
        <v>94</v>
      </c>
      <c r="G41" s="25" t="s">
        <v>1777</v>
      </c>
      <c r="H41" s="26" t="str" cm="1">
        <f t="array" ref="H41">Reverse2_6(O41)</f>
        <v>00-010201</v>
      </c>
      <c r="I41" s="43" cm="1">
        <f t="array" ref="I41">HEX2DEC(Reverse(P41))</f>
        <v>93631153</v>
      </c>
      <c r="J41" s="43" cm="1">
        <f t="array" ref="J41">IF(Q41&lt;&gt;0, HEX2DEC(Reverse(Q41))-$I41,"")</f>
        <v>5</v>
      </c>
      <c r="K41" s="43" cm="1">
        <f t="array" ref="K41">IF(R41&lt;&gt;0, HEX2DEC(Reverse(R41))-$I41,"")</f>
        <v>7</v>
      </c>
      <c r="L41" s="43" t="str" cm="1">
        <f t="array" ref="L41">IF(S41&lt;&gt;0, HEX2DEC(Reverse(S41))-$I41,"")</f>
        <v/>
      </c>
      <c r="M41" s="43" cm="1">
        <f t="array" ref="M41">IF(T41&lt;&gt;0, HEX2DEC(Reverse(T41))-$I41,"")</f>
        <v>8</v>
      </c>
      <c r="O41" s="26">
        <v>1020100</v>
      </c>
      <c r="P41" s="26" t="s">
        <v>114</v>
      </c>
      <c r="Q41" s="26" t="s">
        <v>122</v>
      </c>
      <c r="R41" s="40" t="s">
        <v>125</v>
      </c>
      <c r="S41" s="26">
        <v>0</v>
      </c>
      <c r="T41" s="26" t="s">
        <v>126</v>
      </c>
      <c r="U41" s="3"/>
      <c r="V41" s="4"/>
      <c r="Y41" s="3" t="str">
        <f>MID(P41,7,2)&amp;MID(P41,5,2)&amp;MID(P41,3,2)&amp;MID(P41,1,2)</f>
        <v>0594b2b1</v>
      </c>
      <c r="Z41" s="3" t="str">
        <f>MID(Q41,7,2)&amp;MID(Q41,5,2)&amp;MID(Q41,3,2)&amp;MID(Q41,1,2)</f>
        <v>0594b2b6</v>
      </c>
      <c r="AA41" s="3" t="str">
        <f t="shared" si="18"/>
        <v>0594b2b8</v>
      </c>
      <c r="AB41" s="3" t="str">
        <f t="shared" si="19"/>
        <v>0</v>
      </c>
      <c r="AC41" s="3" t="str">
        <f t="shared" si="20"/>
        <v>0594b2b9</v>
      </c>
      <c r="AD41" s="3" t="str">
        <f t="shared" si="21"/>
        <v/>
      </c>
      <c r="AE41" s="3">
        <f t="shared" si="22"/>
        <v>93631153</v>
      </c>
      <c r="AF41" s="3">
        <f t="shared" si="23"/>
        <v>93631158</v>
      </c>
      <c r="AG41" s="3">
        <f t="shared" si="24"/>
        <v>93631160</v>
      </c>
      <c r="AH41" s="3">
        <f t="shared" si="25"/>
        <v>0</v>
      </c>
      <c r="AI41" s="3">
        <f t="shared" si="26"/>
        <v>93631161</v>
      </c>
      <c r="AJ41" s="3">
        <f t="shared" si="27"/>
        <v>0</v>
      </c>
      <c r="AK41" s="1">
        <f t="shared" si="10"/>
        <v>0</v>
      </c>
      <c r="AL41" s="1">
        <f t="shared" si="11"/>
        <v>5</v>
      </c>
      <c r="AM41" s="1">
        <f t="shared" si="12"/>
        <v>7</v>
      </c>
      <c r="AN41" s="1">
        <f t="shared" si="13"/>
        <v>-93631153</v>
      </c>
      <c r="AO41" s="1">
        <f t="shared" si="14"/>
        <v>8</v>
      </c>
    </row>
    <row r="42" spans="1:41" x14ac:dyDescent="0.2">
      <c r="A42" s="24" t="s">
        <v>40</v>
      </c>
      <c r="B42" s="24">
        <v>2711</v>
      </c>
      <c r="C42" s="25" t="s">
        <v>2</v>
      </c>
      <c r="D42" s="25" t="s">
        <v>1</v>
      </c>
      <c r="E42" s="25" t="s">
        <v>92</v>
      </c>
      <c r="F42" s="25" t="s">
        <v>94</v>
      </c>
      <c r="G42" s="25" t="s">
        <v>1777</v>
      </c>
      <c r="H42" s="26" t="str" cm="1">
        <f t="array" ref="H42">Reverse2_6(O42)</f>
        <v>00-010201</v>
      </c>
      <c r="I42" s="43" cm="1">
        <f t="array" ref="I42">HEX2DEC(Reverse(P42))</f>
        <v>93631153</v>
      </c>
      <c r="J42" s="43" cm="1">
        <f t="array" ref="J42">IF(Q42&lt;&gt;0, HEX2DEC(Reverse(Q42))-$I42,"")</f>
        <v>5</v>
      </c>
      <c r="K42" s="43" cm="1">
        <f t="array" ref="K42">IF(R42&lt;&gt;0, HEX2DEC(Reverse(R42))-$I42,"")</f>
        <v>8</v>
      </c>
      <c r="L42" s="43" t="str" cm="1">
        <f t="array" ref="L42">IF(S42&lt;&gt;0, HEX2DEC(Reverse(S42))-$I42,"")</f>
        <v/>
      </c>
      <c r="M42" s="43" cm="1">
        <f t="array" ref="M42">IF(T42&lt;&gt;0, HEX2DEC(Reverse(T42))-$I42,"")</f>
        <v>9</v>
      </c>
      <c r="O42" s="26">
        <v>1020100</v>
      </c>
      <c r="P42" s="26" t="s">
        <v>114</v>
      </c>
      <c r="Q42" s="26" t="s">
        <v>122</v>
      </c>
      <c r="R42" s="26" t="s">
        <v>126</v>
      </c>
      <c r="S42" s="26">
        <v>0</v>
      </c>
      <c r="T42" s="26" t="s">
        <v>127</v>
      </c>
      <c r="U42" s="3"/>
      <c r="V42" s="4"/>
      <c r="Y42" s="3" t="str">
        <f>MID(P42,7,2)&amp;MID(P42,5,2)&amp;MID(P42,3,2)&amp;MID(P42,1,2)</f>
        <v>0594b2b1</v>
      </c>
      <c r="Z42" s="3" t="str">
        <f>MID(Q42,7,2)&amp;MID(Q42,5,2)&amp;MID(Q42,3,2)&amp;MID(Q42,1,2)</f>
        <v>0594b2b6</v>
      </c>
      <c r="AA42" s="3" t="str">
        <f t="shared" si="18"/>
        <v>0594b2b9</v>
      </c>
      <c r="AB42" s="3" t="str">
        <f t="shared" si="19"/>
        <v>0</v>
      </c>
      <c r="AC42" s="3" t="str">
        <f t="shared" si="20"/>
        <v>0594b2ba</v>
      </c>
      <c r="AD42" s="3" t="str">
        <f t="shared" si="21"/>
        <v/>
      </c>
      <c r="AE42" s="3">
        <f t="shared" si="22"/>
        <v>93631153</v>
      </c>
      <c r="AF42" s="3">
        <f t="shared" si="23"/>
        <v>93631158</v>
      </c>
      <c r="AG42" s="3">
        <f t="shared" si="24"/>
        <v>93631161</v>
      </c>
      <c r="AH42" s="3">
        <f t="shared" si="25"/>
        <v>0</v>
      </c>
      <c r="AI42" s="3">
        <f t="shared" si="26"/>
        <v>93631162</v>
      </c>
      <c r="AJ42" s="3">
        <f t="shared" si="27"/>
        <v>0</v>
      </c>
      <c r="AK42" s="1">
        <f t="shared" si="10"/>
        <v>0</v>
      </c>
      <c r="AL42" s="1">
        <f t="shared" si="11"/>
        <v>5</v>
      </c>
      <c r="AM42" s="1">
        <f t="shared" si="12"/>
        <v>8</v>
      </c>
      <c r="AN42" s="1">
        <f t="shared" si="13"/>
        <v>-93631153</v>
      </c>
      <c r="AO42" s="1">
        <f t="shared" si="14"/>
        <v>9</v>
      </c>
    </row>
    <row r="43" spans="1:41" x14ac:dyDescent="0.2">
      <c r="A43" s="24" t="s">
        <v>41</v>
      </c>
      <c r="B43" s="24">
        <v>2712</v>
      </c>
      <c r="C43" s="25" t="s">
        <v>2</v>
      </c>
      <c r="D43" s="25" t="s">
        <v>1</v>
      </c>
      <c r="E43" s="25" t="s">
        <v>92</v>
      </c>
      <c r="F43" s="25" t="s">
        <v>94</v>
      </c>
      <c r="G43" s="25" t="s">
        <v>1777</v>
      </c>
      <c r="H43" s="26" t="str" cm="1">
        <f t="array" ref="H43">Reverse2_6(O43)</f>
        <v>00-010201</v>
      </c>
      <c r="I43" s="43" cm="1">
        <f t="array" ref="I43">HEX2DEC(Reverse(P43))</f>
        <v>93631153</v>
      </c>
      <c r="J43" s="43" cm="1">
        <f t="array" ref="J43">IF(Q43&lt;&gt;0, HEX2DEC(Reverse(Q43))-$I43,"")</f>
        <v>5</v>
      </c>
      <c r="K43" s="43" cm="1">
        <f t="array" ref="K43">IF(R43&lt;&gt;0, HEX2DEC(Reverse(R43))-$I43,"")</f>
        <v>9</v>
      </c>
      <c r="L43" s="43" t="str" cm="1">
        <f t="array" ref="L43">IF(S43&lt;&gt;0, HEX2DEC(Reverse(S43))-$I43,"")</f>
        <v/>
      </c>
      <c r="M43" s="43" cm="1">
        <f t="array" ref="M43">IF(T43&lt;&gt;0, HEX2DEC(Reverse(T43))-$I43,"")</f>
        <v>10</v>
      </c>
      <c r="O43" s="26">
        <v>1020100</v>
      </c>
      <c r="P43" s="26" t="s">
        <v>114</v>
      </c>
      <c r="Q43" s="26" t="s">
        <v>122</v>
      </c>
      <c r="R43" s="13" t="s">
        <v>127</v>
      </c>
      <c r="S43" s="26">
        <v>0</v>
      </c>
      <c r="T43" s="26" t="s">
        <v>128</v>
      </c>
      <c r="U43" s="3"/>
      <c r="V43" s="4"/>
      <c r="Y43" s="3" t="str">
        <f>MID(P43,7,2)&amp;MID(P43,5,2)&amp;MID(P43,3,2)&amp;MID(P43,1,2)</f>
        <v>0594b2b1</v>
      </c>
      <c r="Z43" s="3" t="str">
        <f>MID(Q43,7,2)&amp;MID(Q43,5,2)&amp;MID(Q43,3,2)&amp;MID(Q43,1,2)</f>
        <v>0594b2b6</v>
      </c>
      <c r="AA43" s="3" t="str">
        <f t="shared" si="18"/>
        <v>0594b2ba</v>
      </c>
      <c r="AB43" s="3" t="str">
        <f t="shared" si="19"/>
        <v>0</v>
      </c>
      <c r="AC43" s="3" t="str">
        <f t="shared" si="20"/>
        <v>0594b2bb</v>
      </c>
      <c r="AD43" s="3" t="str">
        <f t="shared" si="21"/>
        <v/>
      </c>
      <c r="AE43" s="3">
        <f t="shared" si="22"/>
        <v>93631153</v>
      </c>
      <c r="AF43" s="3">
        <f t="shared" si="23"/>
        <v>93631158</v>
      </c>
      <c r="AG43" s="3">
        <f t="shared" si="24"/>
        <v>93631162</v>
      </c>
      <c r="AH43" s="3">
        <f t="shared" si="25"/>
        <v>0</v>
      </c>
      <c r="AI43" s="3">
        <f t="shared" si="26"/>
        <v>93631163</v>
      </c>
      <c r="AJ43" s="3">
        <f t="shared" si="27"/>
        <v>0</v>
      </c>
      <c r="AK43" s="1">
        <f t="shared" si="10"/>
        <v>0</v>
      </c>
      <c r="AL43" s="1">
        <f t="shared" si="11"/>
        <v>5</v>
      </c>
      <c r="AM43" s="1">
        <f t="shared" si="12"/>
        <v>9</v>
      </c>
      <c r="AN43" s="1">
        <f t="shared" si="13"/>
        <v>-93631153</v>
      </c>
      <c r="AO43" s="1">
        <f t="shared" si="14"/>
        <v>10</v>
      </c>
    </row>
    <row r="44" spans="1:41" x14ac:dyDescent="0.2">
      <c r="A44" s="24" t="s">
        <v>42</v>
      </c>
      <c r="B44" s="24">
        <v>2713</v>
      </c>
      <c r="C44" s="25" t="s">
        <v>2</v>
      </c>
      <c r="D44" s="25" t="s">
        <v>1</v>
      </c>
      <c r="E44" s="25" t="s">
        <v>92</v>
      </c>
      <c r="F44" s="25" t="s">
        <v>94</v>
      </c>
      <c r="G44" s="25" t="s">
        <v>1777</v>
      </c>
      <c r="H44" s="26" t="str" cm="1">
        <f t="array" ref="H44">Reverse2_6(O44)</f>
        <v>00-010201</v>
      </c>
      <c r="I44" s="43" cm="1">
        <f t="array" ref="I44">HEX2DEC(Reverse(P44))</f>
        <v>93631153</v>
      </c>
      <c r="J44" s="43" cm="1">
        <f t="array" ref="J44">IF(Q44&lt;&gt;0, HEX2DEC(Reverse(Q44))-$I44,"")</f>
        <v>5</v>
      </c>
      <c r="K44" s="43" cm="1">
        <f t="array" ref="K44">IF(R44&lt;&gt;0, HEX2DEC(Reverse(R44))-$I44,"")</f>
        <v>10</v>
      </c>
      <c r="L44" s="43" t="str" cm="1">
        <f t="array" ref="L44">IF(S44&lt;&gt;0, HEX2DEC(Reverse(S44))-$I44,"")</f>
        <v/>
      </c>
      <c r="M44" s="43" cm="1">
        <f t="array" ref="M44">IF(T44&lt;&gt;0, HEX2DEC(Reverse(T44))-$I44,"")</f>
        <v>11</v>
      </c>
      <c r="O44" s="26">
        <v>1020100</v>
      </c>
      <c r="P44" s="26" t="s">
        <v>114</v>
      </c>
      <c r="Q44" s="26" t="s">
        <v>122</v>
      </c>
      <c r="R44" s="38" t="s">
        <v>128</v>
      </c>
      <c r="S44" s="26">
        <v>0</v>
      </c>
      <c r="T44" s="26" t="s">
        <v>129</v>
      </c>
      <c r="U44" s="3"/>
      <c r="V44" s="4"/>
      <c r="Y44" s="3" t="str">
        <f>MID(P44,7,2)&amp;MID(P44,5,2)&amp;MID(P44,3,2)&amp;MID(P44,1,2)</f>
        <v>0594b2b1</v>
      </c>
      <c r="Z44" s="3" t="str">
        <f>MID(Q44,7,2)&amp;MID(Q44,5,2)&amp;MID(Q44,3,2)&amp;MID(Q44,1,2)</f>
        <v>0594b2b6</v>
      </c>
      <c r="AA44" s="3" t="str">
        <f t="shared" si="18"/>
        <v>0594b2bb</v>
      </c>
      <c r="AB44" s="3" t="str">
        <f t="shared" si="19"/>
        <v>0</v>
      </c>
      <c r="AC44" s="3" t="str">
        <f t="shared" si="20"/>
        <v>0594b2bc</v>
      </c>
      <c r="AD44" s="3" t="str">
        <f t="shared" si="21"/>
        <v/>
      </c>
      <c r="AE44" s="3">
        <f t="shared" si="22"/>
        <v>93631153</v>
      </c>
      <c r="AF44" s="3">
        <f t="shared" si="23"/>
        <v>93631158</v>
      </c>
      <c r="AG44" s="3">
        <f t="shared" si="24"/>
        <v>93631163</v>
      </c>
      <c r="AH44" s="3">
        <f t="shared" si="25"/>
        <v>0</v>
      </c>
      <c r="AI44" s="3">
        <f t="shared" si="26"/>
        <v>93631164</v>
      </c>
      <c r="AJ44" s="3">
        <f t="shared" si="27"/>
        <v>0</v>
      </c>
      <c r="AK44" s="1">
        <f t="shared" si="10"/>
        <v>0</v>
      </c>
      <c r="AL44" s="1">
        <f t="shared" si="11"/>
        <v>5</v>
      </c>
      <c r="AM44" s="1">
        <f t="shared" si="12"/>
        <v>10</v>
      </c>
      <c r="AN44" s="1">
        <f t="shared" si="13"/>
        <v>-93631153</v>
      </c>
      <c r="AO44" s="1">
        <f t="shared" si="14"/>
        <v>11</v>
      </c>
    </row>
    <row r="45" spans="1:41" x14ac:dyDescent="0.2">
      <c r="A45" s="24" t="s">
        <v>43</v>
      </c>
      <c r="B45" s="24">
        <v>2714</v>
      </c>
      <c r="C45" s="25" t="s">
        <v>2</v>
      </c>
      <c r="D45" s="25" t="s">
        <v>1</v>
      </c>
      <c r="E45" s="25" t="s">
        <v>92</v>
      </c>
      <c r="F45" s="25" t="s">
        <v>94</v>
      </c>
      <c r="G45" s="25" t="s">
        <v>1777</v>
      </c>
      <c r="H45" s="26" t="str" cm="1">
        <f t="array" ref="H45">Reverse2_6(O45)</f>
        <v>00-010201</v>
      </c>
      <c r="I45" s="43" cm="1">
        <f t="array" ref="I45">HEX2DEC(Reverse(P45))</f>
        <v>93631153</v>
      </c>
      <c r="J45" s="43" cm="1">
        <f t="array" ref="J45">IF(Q45&lt;&gt;0, HEX2DEC(Reverse(Q45))-$I45,"")</f>
        <v>5</v>
      </c>
      <c r="K45" s="43" cm="1">
        <f t="array" ref="K45">IF(R45&lt;&gt;0, HEX2DEC(Reverse(R45))-$I45,"")</f>
        <v>11</v>
      </c>
      <c r="L45" s="43" t="str" cm="1">
        <f t="array" ref="L45">IF(S45&lt;&gt;0, HEX2DEC(Reverse(S45))-$I45,"")</f>
        <v/>
      </c>
      <c r="M45" s="43" cm="1">
        <f t="array" ref="M45">IF(T45&lt;&gt;0, HEX2DEC(Reverse(T45))-$I45,"")</f>
        <v>12</v>
      </c>
      <c r="O45" s="26">
        <v>1020100</v>
      </c>
      <c r="P45" s="26" t="s">
        <v>114</v>
      </c>
      <c r="Q45" s="26" t="s">
        <v>122</v>
      </c>
      <c r="R45" s="23" t="s">
        <v>129</v>
      </c>
      <c r="S45" s="26">
        <v>0</v>
      </c>
      <c r="T45" s="26" t="s">
        <v>130</v>
      </c>
      <c r="U45" s="3"/>
      <c r="V45" s="4"/>
      <c r="Y45" s="3" t="str">
        <f>MID(P45,7,2)&amp;MID(P45,5,2)&amp;MID(P45,3,2)&amp;MID(P45,1,2)</f>
        <v>0594b2b1</v>
      </c>
      <c r="Z45" s="3" t="str">
        <f>MID(Q45,7,2)&amp;MID(Q45,5,2)&amp;MID(Q45,3,2)&amp;MID(Q45,1,2)</f>
        <v>0594b2b6</v>
      </c>
      <c r="AA45" s="3" t="str">
        <f t="shared" si="18"/>
        <v>0594b2bc</v>
      </c>
      <c r="AB45" s="3" t="str">
        <f t="shared" si="19"/>
        <v>0</v>
      </c>
      <c r="AC45" s="3" t="str">
        <f t="shared" si="20"/>
        <v>0594b2bd</v>
      </c>
      <c r="AD45" s="3" t="str">
        <f t="shared" si="21"/>
        <v/>
      </c>
      <c r="AE45" s="3">
        <f t="shared" si="22"/>
        <v>93631153</v>
      </c>
      <c r="AF45" s="3">
        <f t="shared" si="23"/>
        <v>93631158</v>
      </c>
      <c r="AG45" s="3">
        <f t="shared" si="24"/>
        <v>93631164</v>
      </c>
      <c r="AH45" s="3">
        <f t="shared" si="25"/>
        <v>0</v>
      </c>
      <c r="AI45" s="3">
        <f t="shared" si="26"/>
        <v>93631165</v>
      </c>
      <c r="AJ45" s="3">
        <f t="shared" si="27"/>
        <v>0</v>
      </c>
      <c r="AK45" s="1">
        <f t="shared" si="10"/>
        <v>0</v>
      </c>
      <c r="AL45" s="1">
        <f t="shared" si="11"/>
        <v>5</v>
      </c>
      <c r="AM45" s="1">
        <f t="shared" si="12"/>
        <v>11</v>
      </c>
      <c r="AN45" s="1">
        <f t="shared" si="13"/>
        <v>-93631153</v>
      </c>
      <c r="AO45" s="1">
        <f t="shared" si="14"/>
        <v>12</v>
      </c>
    </row>
    <row r="46" spans="1:41" x14ac:dyDescent="0.2">
      <c r="A46" s="24" t="s">
        <v>44</v>
      </c>
      <c r="B46" s="24">
        <v>2715</v>
      </c>
      <c r="C46" s="25" t="s">
        <v>2</v>
      </c>
      <c r="D46" s="25" t="s">
        <v>1</v>
      </c>
      <c r="E46" s="25" t="s">
        <v>92</v>
      </c>
      <c r="F46" s="25" t="s">
        <v>94</v>
      </c>
      <c r="G46" s="25" t="s">
        <v>1777</v>
      </c>
      <c r="H46" s="26" t="str" cm="1">
        <f t="array" ref="H46">Reverse2_6(O46)</f>
        <v>00-010201</v>
      </c>
      <c r="I46" s="43" cm="1">
        <f t="array" ref="I46">HEX2DEC(Reverse(P46))</f>
        <v>93631153</v>
      </c>
      <c r="J46" s="43" cm="1">
        <f t="array" ref="J46">IF(Q46&lt;&gt;0, HEX2DEC(Reverse(Q46))-$I46,"")</f>
        <v>5</v>
      </c>
      <c r="K46" s="43" cm="1">
        <f t="array" ref="K46">IF(R46&lt;&gt;0, HEX2DEC(Reverse(R46))-$I46,"")</f>
        <v>12</v>
      </c>
      <c r="L46" s="43" t="str" cm="1">
        <f t="array" ref="L46">IF(S46&lt;&gt;0, HEX2DEC(Reverse(S46))-$I46,"")</f>
        <v/>
      </c>
      <c r="M46" s="43" cm="1">
        <f t="array" ref="M46">IF(T46&lt;&gt;0, HEX2DEC(Reverse(T46))-$I46,"")</f>
        <v>13</v>
      </c>
      <c r="O46" s="26">
        <v>1020100</v>
      </c>
      <c r="P46" s="26" t="s">
        <v>114</v>
      </c>
      <c r="Q46" s="26" t="s">
        <v>122</v>
      </c>
      <c r="R46" s="39" t="s">
        <v>130</v>
      </c>
      <c r="S46" s="26">
        <v>0</v>
      </c>
      <c r="T46" s="26" t="s">
        <v>131</v>
      </c>
      <c r="U46" s="3"/>
      <c r="V46" s="4"/>
      <c r="Y46" s="3" t="str">
        <f>MID(P46,7,2)&amp;MID(P46,5,2)&amp;MID(P46,3,2)&amp;MID(P46,1,2)</f>
        <v>0594b2b1</v>
      </c>
      <c r="Z46" s="3" t="str">
        <f>MID(Q46,7,2)&amp;MID(Q46,5,2)&amp;MID(Q46,3,2)&amp;MID(Q46,1,2)</f>
        <v>0594b2b6</v>
      </c>
      <c r="AA46" s="3" t="str">
        <f t="shared" si="18"/>
        <v>0594b2bd</v>
      </c>
      <c r="AB46" s="3" t="str">
        <f t="shared" si="19"/>
        <v>0</v>
      </c>
      <c r="AC46" s="3" t="str">
        <f t="shared" si="20"/>
        <v>0594b2be</v>
      </c>
      <c r="AD46" s="3" t="str">
        <f t="shared" si="21"/>
        <v/>
      </c>
      <c r="AE46" s="3">
        <f t="shared" si="22"/>
        <v>93631153</v>
      </c>
      <c r="AF46" s="3">
        <f t="shared" si="23"/>
        <v>93631158</v>
      </c>
      <c r="AG46" s="3">
        <f t="shared" si="24"/>
        <v>93631165</v>
      </c>
      <c r="AH46" s="3">
        <f t="shared" si="25"/>
        <v>0</v>
      </c>
      <c r="AI46" s="3">
        <f t="shared" si="26"/>
        <v>93631166</v>
      </c>
      <c r="AJ46" s="3">
        <f t="shared" si="27"/>
        <v>0</v>
      </c>
      <c r="AK46" s="1">
        <f t="shared" si="10"/>
        <v>0</v>
      </c>
      <c r="AL46" s="1">
        <f t="shared" si="11"/>
        <v>5</v>
      </c>
      <c r="AM46" s="1">
        <f t="shared" si="12"/>
        <v>12</v>
      </c>
      <c r="AN46" s="1">
        <f t="shared" si="13"/>
        <v>-93631153</v>
      </c>
      <c r="AO46" s="1">
        <f t="shared" si="14"/>
        <v>13</v>
      </c>
    </row>
    <row r="47" spans="1:41" x14ac:dyDescent="0.2">
      <c r="A47" s="16" t="s">
        <v>45</v>
      </c>
      <c r="B47" s="16">
        <v>2726</v>
      </c>
      <c r="C47" s="15" t="s">
        <v>2</v>
      </c>
      <c r="D47" s="15" t="s">
        <v>1</v>
      </c>
      <c r="E47" s="15" t="s">
        <v>92</v>
      </c>
      <c r="F47" s="15" t="s">
        <v>96</v>
      </c>
      <c r="G47" s="15"/>
      <c r="H47" s="17" t="str" cm="1">
        <f t="array" ref="H47">Reverse2_6(O47)</f>
        <v>00-010101</v>
      </c>
      <c r="I47" s="18" cm="1">
        <f t="array" ref="I47">HEX2DEC(Reverse(P47))</f>
        <v>93631153</v>
      </c>
      <c r="J47" s="18" cm="1">
        <f t="array" ref="J47">IF(Q47&lt;&gt;0, HEX2DEC(Reverse(Q47))-$I47,"")</f>
        <v>6</v>
      </c>
      <c r="K47" s="18" cm="1">
        <f t="array" ref="K47">IF(R47&lt;&gt;0, HEX2DEC(Reverse(R47))-$I47,"")</f>
        <v>12</v>
      </c>
      <c r="L47" s="18" cm="1">
        <f t="array" ref="L47">IF(S47&lt;&gt;0, HEX2DEC(Reverse(S47))-$I47,"")</f>
        <v>7</v>
      </c>
      <c r="M47" s="18" cm="1">
        <f t="array" ref="M47">IF(T47&lt;&gt;0, HEX2DEC(Reverse(T47))-$I47,"")</f>
        <v>13</v>
      </c>
      <c r="O47" s="3">
        <v>1010100</v>
      </c>
      <c r="P47" s="3" t="s">
        <v>114</v>
      </c>
      <c r="Q47" s="3" t="s">
        <v>124</v>
      </c>
      <c r="R47" s="39" t="s">
        <v>130</v>
      </c>
      <c r="S47" s="3" t="s">
        <v>125</v>
      </c>
      <c r="T47" s="3" t="s">
        <v>131</v>
      </c>
      <c r="U47" s="3">
        <v>31313131</v>
      </c>
      <c r="V47" s="4" t="s">
        <v>132</v>
      </c>
      <c r="Y47" s="3" t="str">
        <f>MID(P47,7,2)&amp;MID(P47,5,2)&amp;MID(P47,3,2)&amp;MID(P47,1,2)</f>
        <v>0594b2b1</v>
      </c>
      <c r="Z47" s="3" t="str">
        <f>MID(Q47,7,2)&amp;MID(Q47,5,2)&amp;MID(Q47,3,2)&amp;MID(Q47,1,2)</f>
        <v>0594b2b7</v>
      </c>
      <c r="AA47" s="3" t="str">
        <f t="shared" si="18"/>
        <v>0594b2bd</v>
      </c>
      <c r="AB47" s="3" t="str">
        <f t="shared" si="19"/>
        <v>0594b2b8</v>
      </c>
      <c r="AC47" s="3" t="str">
        <f t="shared" si="20"/>
        <v>0594b2be</v>
      </c>
      <c r="AD47" s="3" t="str">
        <f t="shared" si="21"/>
        <v>31313131</v>
      </c>
      <c r="AE47" s="3">
        <f t="shared" si="22"/>
        <v>93631153</v>
      </c>
      <c r="AF47" s="3">
        <f t="shared" si="23"/>
        <v>93631159</v>
      </c>
      <c r="AG47" s="3">
        <f t="shared" si="24"/>
        <v>93631165</v>
      </c>
      <c r="AH47" s="3">
        <f t="shared" si="25"/>
        <v>93631160</v>
      </c>
      <c r="AI47" s="3">
        <f t="shared" si="26"/>
        <v>93631166</v>
      </c>
      <c r="AJ47" s="3">
        <f t="shared" si="27"/>
        <v>825307441</v>
      </c>
      <c r="AK47" s="1">
        <f t="shared" si="10"/>
        <v>0</v>
      </c>
      <c r="AL47" s="1">
        <f t="shared" si="11"/>
        <v>6</v>
      </c>
      <c r="AM47" s="1">
        <f t="shared" si="12"/>
        <v>12</v>
      </c>
      <c r="AN47" s="1">
        <f t="shared" si="13"/>
        <v>7</v>
      </c>
      <c r="AO47" s="1">
        <f t="shared" si="14"/>
        <v>13</v>
      </c>
    </row>
    <row r="48" spans="1:41" x14ac:dyDescent="0.2">
      <c r="A48" s="16" t="s">
        <v>46</v>
      </c>
      <c r="B48" s="16">
        <v>2727</v>
      </c>
      <c r="C48" s="15" t="s">
        <v>2</v>
      </c>
      <c r="D48" s="15" t="s">
        <v>1</v>
      </c>
      <c r="E48" s="15" t="s">
        <v>92</v>
      </c>
      <c r="F48" s="15" t="s">
        <v>96</v>
      </c>
      <c r="G48" s="15"/>
      <c r="H48" s="17" t="str" cm="1">
        <f t="array" ref="H48">Reverse2_6(O48)</f>
        <v>00-010101</v>
      </c>
      <c r="I48" s="18" cm="1">
        <f t="array" ref="I48">HEX2DEC(Reverse(P48))</f>
        <v>93631153</v>
      </c>
      <c r="J48" s="18" cm="1">
        <f t="array" ref="J48">IF(Q48&lt;&gt;0, HEX2DEC(Reverse(Q48))-$I48,"")</f>
        <v>7</v>
      </c>
      <c r="K48" s="18" cm="1">
        <f t="array" ref="K48">IF(R48&lt;&gt;0, HEX2DEC(Reverse(R48))-$I48,"")</f>
        <v>12</v>
      </c>
      <c r="L48" s="18" cm="1">
        <f t="array" ref="L48">IF(S48&lt;&gt;0, HEX2DEC(Reverse(S48))-$I48,"")</f>
        <v>8</v>
      </c>
      <c r="M48" s="18" cm="1">
        <f t="array" ref="M48">IF(T48&lt;&gt;0, HEX2DEC(Reverse(T48))-$I48,"")</f>
        <v>13</v>
      </c>
      <c r="O48" s="3">
        <v>1010100</v>
      </c>
      <c r="P48" s="3" t="s">
        <v>114</v>
      </c>
      <c r="Q48" s="3" t="s">
        <v>125</v>
      </c>
      <c r="R48" s="39" t="s">
        <v>130</v>
      </c>
      <c r="S48" s="3" t="s">
        <v>126</v>
      </c>
      <c r="T48" s="3" t="s">
        <v>131</v>
      </c>
      <c r="U48" s="3">
        <v>0</v>
      </c>
      <c r="V48" s="4" t="s">
        <v>120</v>
      </c>
      <c r="Y48" s="3" t="str">
        <f>MID(P48,7,2)&amp;MID(P48,5,2)&amp;MID(P48,3,2)&amp;MID(P48,1,2)</f>
        <v>0594b2b1</v>
      </c>
      <c r="Z48" s="3" t="str">
        <f>MID(Q48,7,2)&amp;MID(Q48,5,2)&amp;MID(Q48,3,2)&amp;MID(Q48,1,2)</f>
        <v>0594b2b8</v>
      </c>
      <c r="AA48" s="3" t="str">
        <f t="shared" si="18"/>
        <v>0594b2bd</v>
      </c>
      <c r="AB48" s="3" t="str">
        <f t="shared" si="19"/>
        <v>0594b2b9</v>
      </c>
      <c r="AC48" s="3" t="str">
        <f t="shared" si="20"/>
        <v>0594b2be</v>
      </c>
      <c r="AD48" s="3" t="str">
        <f t="shared" si="21"/>
        <v>0</v>
      </c>
      <c r="AE48" s="3">
        <f t="shared" si="22"/>
        <v>93631153</v>
      </c>
      <c r="AF48" s="3">
        <f t="shared" si="23"/>
        <v>93631160</v>
      </c>
      <c r="AG48" s="3">
        <f t="shared" si="24"/>
        <v>93631165</v>
      </c>
      <c r="AH48" s="3">
        <f t="shared" si="25"/>
        <v>93631161</v>
      </c>
      <c r="AI48" s="3">
        <f t="shared" si="26"/>
        <v>93631166</v>
      </c>
      <c r="AJ48" s="3">
        <f t="shared" si="27"/>
        <v>0</v>
      </c>
      <c r="AK48" s="1">
        <f t="shared" si="10"/>
        <v>0</v>
      </c>
      <c r="AL48" s="1">
        <f t="shared" si="11"/>
        <v>7</v>
      </c>
      <c r="AM48" s="1">
        <f t="shared" si="12"/>
        <v>12</v>
      </c>
      <c r="AN48" s="1">
        <f t="shared" si="13"/>
        <v>8</v>
      </c>
      <c r="AO48" s="1">
        <f t="shared" si="14"/>
        <v>13</v>
      </c>
    </row>
    <row r="49" spans="1:41" x14ac:dyDescent="0.2">
      <c r="A49" s="16" t="s">
        <v>47</v>
      </c>
      <c r="B49" s="16">
        <v>2728</v>
      </c>
      <c r="C49" s="15" t="s">
        <v>2</v>
      </c>
      <c r="D49" s="15" t="s">
        <v>1</v>
      </c>
      <c r="E49" s="15" t="s">
        <v>92</v>
      </c>
      <c r="F49" s="15" t="s">
        <v>104</v>
      </c>
      <c r="G49" s="15"/>
      <c r="H49" s="17" t="str" cm="1">
        <f t="array" ref="H49">Reverse2_6(O49)</f>
        <v>00-010101</v>
      </c>
      <c r="I49" s="18" cm="1">
        <f t="array" ref="I49">HEX2DEC(Reverse(P49))</f>
        <v>93631153</v>
      </c>
      <c r="J49" s="18" cm="1">
        <f t="array" ref="J49">IF(Q49&lt;&gt;0, HEX2DEC(Reverse(Q49))-$I49,"")</f>
        <v>8</v>
      </c>
      <c r="K49" s="18" cm="1">
        <f t="array" ref="K49">IF(R49&lt;&gt;0, HEX2DEC(Reverse(R49))-$I49,"")</f>
        <v>12</v>
      </c>
      <c r="L49" s="18" cm="1">
        <f t="array" ref="L49">IF(S49&lt;&gt;0, HEX2DEC(Reverse(S49))-$I49,"")</f>
        <v>9</v>
      </c>
      <c r="M49" s="18" cm="1">
        <f t="array" ref="M49">IF(T49&lt;&gt;0, HEX2DEC(Reverse(T49))-$I49,"")</f>
        <v>13</v>
      </c>
      <c r="O49" s="3">
        <v>1010100</v>
      </c>
      <c r="P49" s="3" t="s">
        <v>114</v>
      </c>
      <c r="Q49" s="3" t="s">
        <v>126</v>
      </c>
      <c r="R49" s="39" t="s">
        <v>130</v>
      </c>
      <c r="S49" s="3" t="s">
        <v>127</v>
      </c>
      <c r="T49" s="3" t="s">
        <v>131</v>
      </c>
      <c r="U49" s="3">
        <v>0</v>
      </c>
      <c r="V49" s="4" t="s">
        <v>120</v>
      </c>
      <c r="Y49" s="3" t="str">
        <f>MID(P49,7,2)&amp;MID(P49,5,2)&amp;MID(P49,3,2)&amp;MID(P49,1,2)</f>
        <v>0594b2b1</v>
      </c>
      <c r="Z49" s="3" t="str">
        <f>MID(Q49,7,2)&amp;MID(Q49,5,2)&amp;MID(Q49,3,2)&amp;MID(Q49,1,2)</f>
        <v>0594b2b9</v>
      </c>
      <c r="AA49" s="3" t="str">
        <f t="shared" si="18"/>
        <v>0594b2bd</v>
      </c>
      <c r="AB49" s="3" t="str">
        <f t="shared" si="19"/>
        <v>0594b2ba</v>
      </c>
      <c r="AC49" s="3" t="str">
        <f t="shared" si="20"/>
        <v>0594b2be</v>
      </c>
      <c r="AD49" s="3" t="str">
        <f t="shared" si="21"/>
        <v>0</v>
      </c>
      <c r="AE49" s="3">
        <f t="shared" si="22"/>
        <v>93631153</v>
      </c>
      <c r="AF49" s="3">
        <f t="shared" si="23"/>
        <v>93631161</v>
      </c>
      <c r="AG49" s="3">
        <f t="shared" si="24"/>
        <v>93631165</v>
      </c>
      <c r="AH49" s="3">
        <f t="shared" si="25"/>
        <v>93631162</v>
      </c>
      <c r="AI49" s="3">
        <f t="shared" si="26"/>
        <v>93631166</v>
      </c>
      <c r="AJ49" s="3">
        <f t="shared" si="27"/>
        <v>0</v>
      </c>
      <c r="AK49" s="1">
        <f t="shared" si="10"/>
        <v>0</v>
      </c>
      <c r="AL49" s="1">
        <f t="shared" si="11"/>
        <v>8</v>
      </c>
      <c r="AM49" s="1">
        <f t="shared" si="12"/>
        <v>12</v>
      </c>
      <c r="AN49" s="1">
        <f t="shared" si="13"/>
        <v>9</v>
      </c>
      <c r="AO49" s="1">
        <f t="shared" si="14"/>
        <v>13</v>
      </c>
    </row>
    <row r="50" spans="1:41" x14ac:dyDescent="0.2">
      <c r="A50" s="20" t="s">
        <v>48</v>
      </c>
      <c r="B50" s="20">
        <v>2729</v>
      </c>
      <c r="C50" s="21" t="s">
        <v>1</v>
      </c>
      <c r="D50" s="21" t="s">
        <v>2</v>
      </c>
      <c r="E50" s="21" t="s">
        <v>90</v>
      </c>
      <c r="F50" s="21" t="s">
        <v>94</v>
      </c>
      <c r="G50" s="21" t="s">
        <v>1778</v>
      </c>
      <c r="H50" s="22" t="str" cm="1">
        <f t="array" ref="H50">Reverse2_6(O50)</f>
        <v>00-010201</v>
      </c>
      <c r="I50" s="45" cm="1">
        <f t="array" ref="I50">HEX2DEC(Reverse(P50))</f>
        <v>93631153</v>
      </c>
      <c r="J50" s="45" cm="1">
        <f t="array" ref="J50">IF(Q50&lt;&gt;0, HEX2DEC(Reverse(Q50))-$I50,"")</f>
        <v>12</v>
      </c>
      <c r="K50" s="45" cm="1">
        <f t="array" ref="K50">IF(R50&lt;&gt;0, HEX2DEC(Reverse(R50))-$I50,"")</f>
        <v>6</v>
      </c>
      <c r="L50" s="45" t="str" cm="1">
        <f t="array" ref="L50">IF(S50&lt;&gt;0, HEX2DEC(Reverse(S50))-$I50,"")</f>
        <v/>
      </c>
      <c r="M50" s="45" cm="1">
        <f t="array" ref="M50">IF(T50&lt;&gt;0, HEX2DEC(Reverse(T50))-$I50,"")</f>
        <v>7</v>
      </c>
      <c r="O50" s="29">
        <v>1020100</v>
      </c>
      <c r="P50" s="29" t="s">
        <v>114</v>
      </c>
      <c r="Q50" s="29" t="s">
        <v>130</v>
      </c>
      <c r="R50" s="29" t="s">
        <v>124</v>
      </c>
      <c r="S50" s="29">
        <v>0</v>
      </c>
      <c r="T50" s="29" t="s">
        <v>125</v>
      </c>
      <c r="U50" s="3"/>
      <c r="V50" s="4"/>
      <c r="Y50" s="3" t="str">
        <f>MID(P50,7,2)&amp;MID(P50,5,2)&amp;MID(P50,3,2)&amp;MID(P50,1,2)</f>
        <v>0594b2b1</v>
      </c>
      <c r="Z50" s="3" t="str">
        <f>MID(Q50,7,2)&amp;MID(Q50,5,2)&amp;MID(Q50,3,2)&amp;MID(Q50,1,2)</f>
        <v>0594b2bd</v>
      </c>
      <c r="AA50" s="3" t="str">
        <f t="shared" si="18"/>
        <v>0594b2b7</v>
      </c>
      <c r="AB50" s="3" t="str">
        <f t="shared" si="19"/>
        <v>0</v>
      </c>
      <c r="AC50" s="3" t="str">
        <f t="shared" si="20"/>
        <v>0594b2b8</v>
      </c>
      <c r="AD50" s="3" t="str">
        <f t="shared" si="21"/>
        <v/>
      </c>
      <c r="AE50" s="3">
        <f t="shared" si="22"/>
        <v>93631153</v>
      </c>
      <c r="AF50" s="3">
        <f t="shared" si="23"/>
        <v>93631165</v>
      </c>
      <c r="AG50" s="3">
        <f t="shared" si="24"/>
        <v>93631159</v>
      </c>
      <c r="AH50" s="3">
        <f t="shared" si="25"/>
        <v>0</v>
      </c>
      <c r="AI50" s="3">
        <f t="shared" si="26"/>
        <v>93631160</v>
      </c>
      <c r="AJ50" s="3">
        <f t="shared" si="27"/>
        <v>0</v>
      </c>
      <c r="AK50" s="1">
        <f t="shared" si="10"/>
        <v>0</v>
      </c>
      <c r="AL50" s="1">
        <f t="shared" si="11"/>
        <v>12</v>
      </c>
      <c r="AM50" s="1">
        <f t="shared" si="12"/>
        <v>6</v>
      </c>
      <c r="AN50" s="1">
        <f t="shared" si="13"/>
        <v>-93631153</v>
      </c>
      <c r="AO50" s="1">
        <f t="shared" si="14"/>
        <v>7</v>
      </c>
    </row>
    <row r="51" spans="1:41" x14ac:dyDescent="0.2">
      <c r="A51" s="20" t="s">
        <v>49</v>
      </c>
      <c r="B51" s="20">
        <v>2730</v>
      </c>
      <c r="C51" s="21" t="s">
        <v>1</v>
      </c>
      <c r="D51" s="21" t="s">
        <v>2</v>
      </c>
      <c r="E51" s="21" t="s">
        <v>90</v>
      </c>
      <c r="F51" s="21" t="s">
        <v>94</v>
      </c>
      <c r="G51" s="21" t="s">
        <v>1778</v>
      </c>
      <c r="H51" s="22" t="str" cm="1">
        <f t="array" ref="H51">Reverse2_6(O51)</f>
        <v>00-010201</v>
      </c>
      <c r="I51" s="45" cm="1">
        <f t="array" ref="I51">HEX2DEC(Reverse(P51))</f>
        <v>93631153</v>
      </c>
      <c r="J51" s="45" cm="1">
        <f t="array" ref="J51">IF(Q51&lt;&gt;0, HEX2DEC(Reverse(Q51))-$I51,"")</f>
        <v>12</v>
      </c>
      <c r="K51" s="45" cm="1">
        <f t="array" ref="K51">IF(R51&lt;&gt;0, HEX2DEC(Reverse(R51))-$I51,"")</f>
        <v>7</v>
      </c>
      <c r="L51" s="45" t="str" cm="1">
        <f t="array" ref="L51">IF(S51&lt;&gt;0, HEX2DEC(Reverse(S51))-$I51,"")</f>
        <v/>
      </c>
      <c r="M51" s="45" cm="1">
        <f t="array" ref="M51">IF(T51&lt;&gt;0, HEX2DEC(Reverse(T51))-$I51,"")</f>
        <v>8</v>
      </c>
      <c r="O51" s="29">
        <v>1020100</v>
      </c>
      <c r="P51" s="29" t="s">
        <v>114</v>
      </c>
      <c r="Q51" s="29" t="s">
        <v>130</v>
      </c>
      <c r="R51" s="29" t="s">
        <v>125</v>
      </c>
      <c r="S51" s="29">
        <v>0</v>
      </c>
      <c r="T51" s="29" t="s">
        <v>126</v>
      </c>
      <c r="U51" s="3"/>
      <c r="V51" s="4"/>
      <c r="Y51" s="3" t="str">
        <f>MID(P51,7,2)&amp;MID(P51,5,2)&amp;MID(P51,3,2)&amp;MID(P51,1,2)</f>
        <v>0594b2b1</v>
      </c>
      <c r="Z51" s="3" t="str">
        <f>MID(Q51,7,2)&amp;MID(Q51,5,2)&amp;MID(Q51,3,2)&amp;MID(Q51,1,2)</f>
        <v>0594b2bd</v>
      </c>
      <c r="AA51" s="3" t="str">
        <f t="shared" si="18"/>
        <v>0594b2b8</v>
      </c>
      <c r="AB51" s="3" t="str">
        <f t="shared" si="19"/>
        <v>0</v>
      </c>
      <c r="AC51" s="3" t="str">
        <f t="shared" si="20"/>
        <v>0594b2b9</v>
      </c>
      <c r="AD51" s="3" t="str">
        <f t="shared" si="21"/>
        <v/>
      </c>
      <c r="AE51" s="3">
        <f t="shared" si="22"/>
        <v>93631153</v>
      </c>
      <c r="AF51" s="3">
        <f t="shared" si="23"/>
        <v>93631165</v>
      </c>
      <c r="AG51" s="3">
        <f t="shared" si="24"/>
        <v>93631160</v>
      </c>
      <c r="AH51" s="3">
        <f t="shared" si="25"/>
        <v>0</v>
      </c>
      <c r="AI51" s="3">
        <f t="shared" si="26"/>
        <v>93631161</v>
      </c>
      <c r="AJ51" s="3">
        <f t="shared" si="27"/>
        <v>0</v>
      </c>
      <c r="AK51" s="1">
        <f t="shared" si="10"/>
        <v>0</v>
      </c>
      <c r="AL51" s="1">
        <f t="shared" si="11"/>
        <v>12</v>
      </c>
      <c r="AM51" s="1">
        <f t="shared" si="12"/>
        <v>7</v>
      </c>
      <c r="AN51" s="1">
        <f t="shared" si="13"/>
        <v>-93631153</v>
      </c>
      <c r="AO51" s="1">
        <f t="shared" si="14"/>
        <v>8</v>
      </c>
    </row>
    <row r="52" spans="1:41" x14ac:dyDescent="0.2">
      <c r="A52" s="20" t="s">
        <v>50</v>
      </c>
      <c r="B52" s="20">
        <v>2731</v>
      </c>
      <c r="C52" s="21" t="s">
        <v>1</v>
      </c>
      <c r="D52" s="21" t="s">
        <v>2</v>
      </c>
      <c r="E52" s="21" t="s">
        <v>90</v>
      </c>
      <c r="F52" s="21" t="s">
        <v>94</v>
      </c>
      <c r="G52" s="21" t="s">
        <v>1778</v>
      </c>
      <c r="H52" s="22" t="str" cm="1">
        <f t="array" ref="H52">Reverse2_6(O52)</f>
        <v>00-010201</v>
      </c>
      <c r="I52" s="45" cm="1">
        <f t="array" ref="I52">HEX2DEC(Reverse(P52))</f>
        <v>93631153</v>
      </c>
      <c r="J52" s="45" cm="1">
        <f t="array" ref="J52">IF(Q52&lt;&gt;0, HEX2DEC(Reverse(Q52))-$I52,"")</f>
        <v>12</v>
      </c>
      <c r="K52" s="45" cm="1">
        <f t="array" ref="K52">IF(R52&lt;&gt;0, HEX2DEC(Reverse(R52))-$I52,"")</f>
        <v>8</v>
      </c>
      <c r="L52" s="45" t="str" cm="1">
        <f t="array" ref="L52">IF(S52&lt;&gt;0, HEX2DEC(Reverse(S52))-$I52,"")</f>
        <v/>
      </c>
      <c r="M52" s="45" cm="1">
        <f t="array" ref="M52">IF(T52&lt;&gt;0, HEX2DEC(Reverse(T52))-$I52,"")</f>
        <v>9</v>
      </c>
      <c r="O52" s="29">
        <v>1020100</v>
      </c>
      <c r="P52" s="29" t="s">
        <v>114</v>
      </c>
      <c r="Q52" s="29" t="s">
        <v>130</v>
      </c>
      <c r="R52" s="29" t="s">
        <v>126</v>
      </c>
      <c r="S52" s="29">
        <v>0</v>
      </c>
      <c r="T52" s="29" t="s">
        <v>127</v>
      </c>
      <c r="U52" s="3"/>
      <c r="V52" s="4"/>
      <c r="Y52" s="3" t="str">
        <f>MID(P52,7,2)&amp;MID(P52,5,2)&amp;MID(P52,3,2)&amp;MID(P52,1,2)</f>
        <v>0594b2b1</v>
      </c>
      <c r="Z52" s="3" t="str">
        <f>MID(Q52,7,2)&amp;MID(Q52,5,2)&amp;MID(Q52,3,2)&amp;MID(Q52,1,2)</f>
        <v>0594b2bd</v>
      </c>
      <c r="AA52" s="3" t="str">
        <f t="shared" si="18"/>
        <v>0594b2b9</v>
      </c>
      <c r="AB52" s="3" t="str">
        <f t="shared" si="19"/>
        <v>0</v>
      </c>
      <c r="AC52" s="3" t="str">
        <f t="shared" si="20"/>
        <v>0594b2ba</v>
      </c>
      <c r="AD52" s="3" t="str">
        <f t="shared" si="21"/>
        <v/>
      </c>
      <c r="AE52" s="3">
        <f t="shared" si="22"/>
        <v>93631153</v>
      </c>
      <c r="AF52" s="3">
        <f t="shared" si="23"/>
        <v>93631165</v>
      </c>
      <c r="AG52" s="3">
        <f t="shared" si="24"/>
        <v>93631161</v>
      </c>
      <c r="AH52" s="3">
        <f t="shared" si="25"/>
        <v>0</v>
      </c>
      <c r="AI52" s="3">
        <f t="shared" si="26"/>
        <v>93631162</v>
      </c>
      <c r="AJ52" s="3">
        <f t="shared" si="27"/>
        <v>0</v>
      </c>
      <c r="AK52" s="1">
        <f t="shared" si="10"/>
        <v>0</v>
      </c>
      <c r="AL52" s="1">
        <f t="shared" si="11"/>
        <v>12</v>
      </c>
      <c r="AM52" s="1">
        <f t="shared" si="12"/>
        <v>8</v>
      </c>
      <c r="AN52" s="1">
        <f t="shared" si="13"/>
        <v>-93631153</v>
      </c>
      <c r="AO52" s="1">
        <f t="shared" si="14"/>
        <v>9</v>
      </c>
    </row>
    <row r="53" spans="1:41" x14ac:dyDescent="0.2">
      <c r="A53" s="16" t="s">
        <v>51</v>
      </c>
      <c r="B53" s="16">
        <v>2738</v>
      </c>
      <c r="C53" s="15" t="s">
        <v>2</v>
      </c>
      <c r="D53" s="15" t="s">
        <v>1</v>
      </c>
      <c r="E53" s="15" t="s">
        <v>92</v>
      </c>
      <c r="F53" s="15" t="s">
        <v>105</v>
      </c>
      <c r="G53" s="15" t="s">
        <v>172</v>
      </c>
      <c r="H53" s="17" t="str" cm="1">
        <f t="array" ref="H53">Reverse2_6(O53)</f>
        <v>00-010101</v>
      </c>
      <c r="I53" s="18" cm="1">
        <f t="array" ref="I53">HEX2DEC(Reverse(P53))</f>
        <v>93631153</v>
      </c>
      <c r="J53" s="18" cm="1">
        <f t="array" ref="J53">IF(Q53&lt;&gt;0, HEX2DEC(Reverse(Q53))-$I53,"")</f>
        <v>9</v>
      </c>
      <c r="K53" s="18" cm="1">
        <f t="array" ref="K53">IF(R53&lt;&gt;0, HEX2DEC(Reverse(R53))-$I53,"")</f>
        <v>12</v>
      </c>
      <c r="L53" s="18" cm="1">
        <f t="array" ref="L53">IF(S53&lt;&gt;0, HEX2DEC(Reverse(S53))-$I53,"")</f>
        <v>10</v>
      </c>
      <c r="M53" s="18" cm="1">
        <f t="array" ref="M53">IF(T53&lt;&gt;0, HEX2DEC(Reverse(T53))-$I53,"")</f>
        <v>13</v>
      </c>
      <c r="O53" s="3">
        <v>1010100</v>
      </c>
      <c r="P53" s="3" t="s">
        <v>114</v>
      </c>
      <c r="Q53" s="3" t="s">
        <v>127</v>
      </c>
      <c r="R53" s="39" t="s">
        <v>130</v>
      </c>
      <c r="S53" s="3" t="s">
        <v>128</v>
      </c>
      <c r="T53" s="3" t="s">
        <v>131</v>
      </c>
      <c r="U53" s="3">
        <v>31313131</v>
      </c>
      <c r="V53" s="4" t="s">
        <v>133</v>
      </c>
      <c r="Y53" s="3" t="str">
        <f>MID(P53,7,2)&amp;MID(P53,5,2)&amp;MID(P53,3,2)&amp;MID(P53,1,2)</f>
        <v>0594b2b1</v>
      </c>
      <c r="Z53" s="3" t="str">
        <f>MID(Q53,7,2)&amp;MID(Q53,5,2)&amp;MID(Q53,3,2)&amp;MID(Q53,1,2)</f>
        <v>0594b2ba</v>
      </c>
      <c r="AA53" s="3" t="str">
        <f t="shared" si="18"/>
        <v>0594b2bd</v>
      </c>
      <c r="AB53" s="3" t="str">
        <f t="shared" si="19"/>
        <v>0594b2bb</v>
      </c>
      <c r="AC53" s="3" t="str">
        <f t="shared" si="20"/>
        <v>0594b2be</v>
      </c>
      <c r="AD53" s="3" t="str">
        <f t="shared" si="21"/>
        <v>31313131</v>
      </c>
      <c r="AE53" s="3">
        <f t="shared" si="22"/>
        <v>93631153</v>
      </c>
      <c r="AF53" s="3">
        <f t="shared" si="23"/>
        <v>93631162</v>
      </c>
      <c r="AG53" s="3">
        <f t="shared" si="24"/>
        <v>93631165</v>
      </c>
      <c r="AH53" s="3">
        <f t="shared" si="25"/>
        <v>93631163</v>
      </c>
      <c r="AI53" s="3">
        <f t="shared" si="26"/>
        <v>93631166</v>
      </c>
      <c r="AJ53" s="3">
        <f t="shared" si="27"/>
        <v>825307441</v>
      </c>
      <c r="AK53" s="1">
        <f t="shared" si="10"/>
        <v>0</v>
      </c>
      <c r="AL53" s="1">
        <f t="shared" si="11"/>
        <v>9</v>
      </c>
      <c r="AM53" s="1">
        <f t="shared" si="12"/>
        <v>12</v>
      </c>
      <c r="AN53" s="1">
        <f t="shared" si="13"/>
        <v>10</v>
      </c>
      <c r="AO53" s="1">
        <f t="shared" si="14"/>
        <v>13</v>
      </c>
    </row>
    <row r="54" spans="1:41" x14ac:dyDescent="0.2">
      <c r="A54" s="20" t="s">
        <v>52</v>
      </c>
      <c r="B54" s="20">
        <v>2739</v>
      </c>
      <c r="C54" s="21" t="s">
        <v>1</v>
      </c>
      <c r="D54" s="21" t="s">
        <v>2</v>
      </c>
      <c r="E54" s="21" t="s">
        <v>90</v>
      </c>
      <c r="F54" s="21" t="s">
        <v>94</v>
      </c>
      <c r="G54" s="21" t="s">
        <v>1778</v>
      </c>
      <c r="H54" s="22" t="str" cm="1">
        <f t="array" ref="H54">Reverse2_6(O54)</f>
        <v>00-010201</v>
      </c>
      <c r="I54" s="45" cm="1">
        <f t="array" ref="I54">HEX2DEC(Reverse(P54))</f>
        <v>93631153</v>
      </c>
      <c r="J54" s="45" cm="1">
        <f t="array" ref="J54">IF(Q54&lt;&gt;0, HEX2DEC(Reverse(Q54))-$I54,"")</f>
        <v>12</v>
      </c>
      <c r="K54" s="45" cm="1">
        <f t="array" ref="K54">IF(R54&lt;&gt;0, HEX2DEC(Reverse(R54))-$I54,"")</f>
        <v>9</v>
      </c>
      <c r="L54" s="45" t="str" cm="1">
        <f t="array" ref="L54">IF(S54&lt;&gt;0, HEX2DEC(Reverse(S54))-$I54,"")</f>
        <v/>
      </c>
      <c r="M54" s="45" cm="1">
        <f t="array" ref="M54">IF(T54&lt;&gt;0, HEX2DEC(Reverse(T54))-$I54,"")</f>
        <v>10</v>
      </c>
      <c r="O54" s="3">
        <v>1020100</v>
      </c>
      <c r="P54" s="3" t="s">
        <v>114</v>
      </c>
      <c r="Q54" s="3" t="s">
        <v>130</v>
      </c>
      <c r="R54" s="3" t="s">
        <v>127</v>
      </c>
      <c r="S54" s="3">
        <v>0</v>
      </c>
      <c r="T54" s="3" t="s">
        <v>128</v>
      </c>
      <c r="U54" s="3"/>
      <c r="V54" s="4"/>
      <c r="Y54" s="3" t="str">
        <f>MID(P54,7,2)&amp;MID(P54,5,2)&amp;MID(P54,3,2)&amp;MID(P54,1,2)</f>
        <v>0594b2b1</v>
      </c>
      <c r="Z54" s="3" t="str">
        <f>MID(Q54,7,2)&amp;MID(Q54,5,2)&amp;MID(Q54,3,2)&amp;MID(Q54,1,2)</f>
        <v>0594b2bd</v>
      </c>
      <c r="AA54" s="3" t="str">
        <f t="shared" si="18"/>
        <v>0594b2ba</v>
      </c>
      <c r="AB54" s="3" t="str">
        <f t="shared" si="19"/>
        <v>0</v>
      </c>
      <c r="AC54" s="3" t="str">
        <f t="shared" si="20"/>
        <v>0594b2bb</v>
      </c>
      <c r="AD54" s="3" t="str">
        <f t="shared" si="21"/>
        <v/>
      </c>
      <c r="AE54" s="3">
        <f t="shared" si="22"/>
        <v>93631153</v>
      </c>
      <c r="AF54" s="3">
        <f t="shared" si="23"/>
        <v>93631165</v>
      </c>
      <c r="AG54" s="3">
        <f t="shared" si="24"/>
        <v>93631162</v>
      </c>
      <c r="AH54" s="3">
        <f t="shared" si="25"/>
        <v>0</v>
      </c>
      <c r="AI54" s="3">
        <f t="shared" si="26"/>
        <v>93631163</v>
      </c>
      <c r="AJ54" s="3">
        <f t="shared" si="27"/>
        <v>0</v>
      </c>
      <c r="AK54" s="1">
        <f t="shared" si="10"/>
        <v>0</v>
      </c>
      <c r="AL54" s="1">
        <f t="shared" si="11"/>
        <v>12</v>
      </c>
      <c r="AM54" s="1">
        <f t="shared" si="12"/>
        <v>9</v>
      </c>
      <c r="AN54" s="1">
        <f t="shared" si="13"/>
        <v>-93631153</v>
      </c>
      <c r="AO54" s="1">
        <f t="shared" si="14"/>
        <v>10</v>
      </c>
    </row>
    <row r="55" spans="1:41" x14ac:dyDescent="0.2">
      <c r="A55" s="46" t="s">
        <v>53</v>
      </c>
      <c r="B55" s="46">
        <v>2744</v>
      </c>
      <c r="C55" s="36" t="s">
        <v>1</v>
      </c>
      <c r="D55" s="36" t="s">
        <v>2</v>
      </c>
      <c r="E55" s="36" t="s">
        <v>90</v>
      </c>
      <c r="F55" s="36" t="s">
        <v>106</v>
      </c>
      <c r="G55" s="36"/>
      <c r="H55" s="35" t="str" cm="1">
        <f t="array" ref="H55">Reverse2_6(O55)</f>
        <v>00-010101</v>
      </c>
      <c r="I55" s="44" cm="1">
        <f t="array" ref="I55">HEX2DEC(Reverse(P55))</f>
        <v>93631153</v>
      </c>
      <c r="J55" s="44" cm="1">
        <f t="array" ref="J55">IF(Q55&lt;&gt;0, HEX2DEC(Reverse(Q55))-$I55,"")</f>
        <v>13</v>
      </c>
      <c r="K55" s="44" cm="1">
        <f t="array" ref="K55">IF(R55&lt;&gt;0, HEX2DEC(Reverse(R55))-$I55,"")</f>
        <v>9</v>
      </c>
      <c r="L55" s="44" cm="1">
        <f t="array" ref="L55">IF(S55&lt;&gt;0, HEX2DEC(Reverse(S55))-$I55,"")</f>
        <v>14</v>
      </c>
      <c r="M55" s="44" cm="1">
        <f t="array" ref="M55">IF(T55&lt;&gt;0, HEX2DEC(Reverse(T55))-$I55,"")</f>
        <v>10</v>
      </c>
      <c r="O55" s="3">
        <v>1010100</v>
      </c>
      <c r="P55" s="3" t="s">
        <v>114</v>
      </c>
      <c r="Q55" s="3" t="s">
        <v>131</v>
      </c>
      <c r="R55" s="3" t="s">
        <v>127</v>
      </c>
      <c r="S55" s="3" t="s">
        <v>134</v>
      </c>
      <c r="T55" s="3" t="s">
        <v>128</v>
      </c>
      <c r="U55" s="3">
        <v>31313131</v>
      </c>
      <c r="V55" s="4" t="s">
        <v>135</v>
      </c>
      <c r="Y55" s="3" t="str">
        <f>MID(P55,7,2)&amp;MID(P55,5,2)&amp;MID(P55,3,2)&amp;MID(P55,1,2)</f>
        <v>0594b2b1</v>
      </c>
      <c r="Z55" s="3" t="str">
        <f>MID(Q55,7,2)&amp;MID(Q55,5,2)&amp;MID(Q55,3,2)&amp;MID(Q55,1,2)</f>
        <v>0594b2be</v>
      </c>
      <c r="AA55" s="3" t="str">
        <f t="shared" si="18"/>
        <v>0594b2ba</v>
      </c>
      <c r="AB55" s="3" t="str">
        <f t="shared" si="19"/>
        <v>0594b2bf</v>
      </c>
      <c r="AC55" s="3" t="str">
        <f t="shared" si="20"/>
        <v>0594b2bb</v>
      </c>
      <c r="AD55" s="3" t="str">
        <f t="shared" si="21"/>
        <v>31313131</v>
      </c>
      <c r="AE55" s="3">
        <f t="shared" si="22"/>
        <v>93631153</v>
      </c>
      <c r="AF55" s="3">
        <f t="shared" si="23"/>
        <v>93631166</v>
      </c>
      <c r="AG55" s="3">
        <f t="shared" si="24"/>
        <v>93631162</v>
      </c>
      <c r="AH55" s="3">
        <f t="shared" si="25"/>
        <v>93631167</v>
      </c>
      <c r="AI55" s="3">
        <f t="shared" si="26"/>
        <v>93631163</v>
      </c>
      <c r="AJ55" s="3">
        <f t="shared" si="27"/>
        <v>825307441</v>
      </c>
      <c r="AK55" s="1">
        <f t="shared" si="10"/>
        <v>0</v>
      </c>
      <c r="AL55" s="1">
        <f t="shared" si="11"/>
        <v>13</v>
      </c>
      <c r="AM55" s="1">
        <f t="shared" si="12"/>
        <v>9</v>
      </c>
      <c r="AN55" s="1">
        <f t="shared" si="13"/>
        <v>14</v>
      </c>
      <c r="AO55" s="1">
        <f t="shared" si="14"/>
        <v>10</v>
      </c>
    </row>
    <row r="56" spans="1:41" x14ac:dyDescent="0.2">
      <c r="A56" s="16" t="s">
        <v>54</v>
      </c>
      <c r="B56" s="16">
        <v>2757</v>
      </c>
      <c r="C56" s="15" t="s">
        <v>2</v>
      </c>
      <c r="D56" s="15" t="s">
        <v>1</v>
      </c>
      <c r="E56" s="15" t="s">
        <v>92</v>
      </c>
      <c r="F56" s="15" t="s">
        <v>96</v>
      </c>
      <c r="G56" s="15" t="s">
        <v>168</v>
      </c>
      <c r="H56" s="17" t="str" cm="1">
        <f t="array" ref="H56">Reverse2_6(O56)</f>
        <v>00-010101</v>
      </c>
      <c r="I56" s="18" cm="1">
        <f t="array" ref="I56">HEX2DEC(Reverse(P56))</f>
        <v>93631153</v>
      </c>
      <c r="J56" s="18" cm="1">
        <f t="array" ref="J56">IF(Q56&lt;&gt;0, HEX2DEC(Reverse(Q56))-$I56,"")</f>
        <v>10</v>
      </c>
      <c r="K56" s="18" cm="1">
        <f t="array" ref="K56">IF(R56&lt;&gt;0, HEX2DEC(Reverse(R56))-$I56,"")</f>
        <v>12</v>
      </c>
      <c r="L56" s="18" cm="1">
        <f t="array" ref="L56">IF(S56&lt;&gt;0, HEX2DEC(Reverse(S56))-$I56,"")</f>
        <v>11</v>
      </c>
      <c r="M56" s="18" cm="1">
        <f t="array" ref="M56">IF(T56&lt;&gt;0, HEX2DEC(Reverse(T56))-$I56,"")</f>
        <v>13</v>
      </c>
      <c r="O56" s="3">
        <v>1010100</v>
      </c>
      <c r="P56" s="3" t="s">
        <v>114</v>
      </c>
      <c r="Q56" s="3" t="s">
        <v>128</v>
      </c>
      <c r="R56" s="39" t="s">
        <v>130</v>
      </c>
      <c r="S56" s="3" t="s">
        <v>129</v>
      </c>
      <c r="T56" s="3" t="s">
        <v>131</v>
      </c>
      <c r="U56" s="3">
        <v>31313131</v>
      </c>
      <c r="V56" s="4" t="s">
        <v>136</v>
      </c>
      <c r="Y56" s="3" t="str">
        <f>MID(P56,7,2)&amp;MID(P56,5,2)&amp;MID(P56,3,2)&amp;MID(P56,1,2)</f>
        <v>0594b2b1</v>
      </c>
      <c r="Z56" s="3" t="str">
        <f>MID(Q56,7,2)&amp;MID(Q56,5,2)&amp;MID(Q56,3,2)&amp;MID(Q56,1,2)</f>
        <v>0594b2bb</v>
      </c>
      <c r="AA56" s="3" t="str">
        <f t="shared" si="18"/>
        <v>0594b2bd</v>
      </c>
      <c r="AB56" s="3" t="str">
        <f t="shared" si="19"/>
        <v>0594b2bc</v>
      </c>
      <c r="AC56" s="3" t="str">
        <f t="shared" si="20"/>
        <v>0594b2be</v>
      </c>
      <c r="AD56" s="3" t="str">
        <f t="shared" si="21"/>
        <v>31313131</v>
      </c>
      <c r="AE56" s="3">
        <f t="shared" si="22"/>
        <v>93631153</v>
      </c>
      <c r="AF56" s="3">
        <f t="shared" si="23"/>
        <v>93631163</v>
      </c>
      <c r="AG56" s="3">
        <f t="shared" si="24"/>
        <v>93631165</v>
      </c>
      <c r="AH56" s="3">
        <f t="shared" si="25"/>
        <v>93631164</v>
      </c>
      <c r="AI56" s="3">
        <f t="shared" si="26"/>
        <v>93631166</v>
      </c>
      <c r="AJ56" s="3">
        <f t="shared" si="27"/>
        <v>825307441</v>
      </c>
      <c r="AK56" s="1">
        <f t="shared" si="10"/>
        <v>0</v>
      </c>
      <c r="AL56" s="1">
        <f t="shared" si="11"/>
        <v>10</v>
      </c>
      <c r="AM56" s="1">
        <f t="shared" si="12"/>
        <v>12</v>
      </c>
      <c r="AN56" s="1">
        <f t="shared" si="13"/>
        <v>11</v>
      </c>
      <c r="AO56" s="1">
        <f t="shared" si="14"/>
        <v>13</v>
      </c>
    </row>
    <row r="57" spans="1:41" x14ac:dyDescent="0.2">
      <c r="A57" s="20" t="s">
        <v>55</v>
      </c>
      <c r="B57" s="20">
        <v>2758</v>
      </c>
      <c r="C57" s="21" t="s">
        <v>1</v>
      </c>
      <c r="D57" s="21" t="s">
        <v>2</v>
      </c>
      <c r="E57" s="21" t="s">
        <v>90</v>
      </c>
      <c r="F57" s="21" t="s">
        <v>94</v>
      </c>
      <c r="G57" s="21" t="s">
        <v>1778</v>
      </c>
      <c r="H57" s="22" t="str" cm="1">
        <f t="array" ref="H57">Reverse2_6(O57)</f>
        <v>00-010201</v>
      </c>
      <c r="I57" s="45" cm="1">
        <f t="array" ref="I57">HEX2DEC(Reverse(P57))</f>
        <v>93631153</v>
      </c>
      <c r="J57" s="45" cm="1">
        <f t="array" ref="J57">IF(Q57&lt;&gt;0, HEX2DEC(Reverse(Q57))-$I57,"")</f>
        <v>13</v>
      </c>
      <c r="K57" s="45" cm="1">
        <f t="array" ref="K57">IF(R57&lt;&gt;0, HEX2DEC(Reverse(R57))-$I57,"")</f>
        <v>10</v>
      </c>
      <c r="L57" s="45" t="str" cm="1">
        <f t="array" ref="L57">IF(S57&lt;&gt;0, HEX2DEC(Reverse(S57))-$I57,"")</f>
        <v/>
      </c>
      <c r="M57" s="45" cm="1">
        <f t="array" ref="M57">IF(T57&lt;&gt;0, HEX2DEC(Reverse(T57))-$I57,"")</f>
        <v>11</v>
      </c>
      <c r="O57" s="3">
        <v>1020100</v>
      </c>
      <c r="P57" s="3" t="s">
        <v>114</v>
      </c>
      <c r="Q57" s="3" t="s">
        <v>131</v>
      </c>
      <c r="R57" s="3" t="s">
        <v>128</v>
      </c>
      <c r="S57" s="3">
        <v>0</v>
      </c>
      <c r="T57" s="3" t="s">
        <v>129</v>
      </c>
      <c r="U57" s="3"/>
      <c r="V57" s="4"/>
      <c r="Y57" s="3" t="str">
        <f>MID(P57,7,2)&amp;MID(P57,5,2)&amp;MID(P57,3,2)&amp;MID(P57,1,2)</f>
        <v>0594b2b1</v>
      </c>
      <c r="Z57" s="3" t="str">
        <f>MID(Q57,7,2)&amp;MID(Q57,5,2)&amp;MID(Q57,3,2)&amp;MID(Q57,1,2)</f>
        <v>0594b2be</v>
      </c>
      <c r="AA57" s="3" t="str">
        <f t="shared" si="18"/>
        <v>0594b2bb</v>
      </c>
      <c r="AB57" s="3" t="str">
        <f t="shared" si="19"/>
        <v>0</v>
      </c>
      <c r="AC57" s="3" t="str">
        <f t="shared" si="20"/>
        <v>0594b2bc</v>
      </c>
      <c r="AD57" s="3" t="str">
        <f t="shared" si="21"/>
        <v/>
      </c>
      <c r="AE57" s="3">
        <f t="shared" si="22"/>
        <v>93631153</v>
      </c>
      <c r="AF57" s="3">
        <f t="shared" si="23"/>
        <v>93631166</v>
      </c>
      <c r="AG57" s="3">
        <f t="shared" si="24"/>
        <v>93631163</v>
      </c>
      <c r="AH57" s="3">
        <f t="shared" si="25"/>
        <v>0</v>
      </c>
      <c r="AI57" s="3">
        <f t="shared" si="26"/>
        <v>93631164</v>
      </c>
      <c r="AJ57" s="3">
        <f t="shared" si="27"/>
        <v>0</v>
      </c>
      <c r="AK57" s="1">
        <f t="shared" si="10"/>
        <v>0</v>
      </c>
      <c r="AL57" s="1">
        <f t="shared" si="11"/>
        <v>13</v>
      </c>
      <c r="AM57" s="1">
        <f t="shared" si="12"/>
        <v>10</v>
      </c>
      <c r="AN57" s="1">
        <f t="shared" si="13"/>
        <v>-93631153</v>
      </c>
      <c r="AO57" s="1">
        <f t="shared" si="14"/>
        <v>11</v>
      </c>
    </row>
    <row r="58" spans="1:41" x14ac:dyDescent="0.2">
      <c r="A58" s="16" t="s">
        <v>56</v>
      </c>
      <c r="B58" s="16">
        <v>2760</v>
      </c>
      <c r="C58" s="15" t="s">
        <v>2</v>
      </c>
      <c r="D58" s="15" t="s">
        <v>1</v>
      </c>
      <c r="E58" s="15" t="s">
        <v>92</v>
      </c>
      <c r="F58" s="15" t="s">
        <v>107</v>
      </c>
      <c r="G58" s="15"/>
      <c r="H58" s="17" t="str" cm="1">
        <f t="array" ref="H58">Reverse2_6(O58)</f>
        <v>00-010101</v>
      </c>
      <c r="I58" s="18" cm="1">
        <f t="array" ref="I58">HEX2DEC(Reverse(P58))</f>
        <v>93631153</v>
      </c>
      <c r="J58" s="18" cm="1">
        <f t="array" ref="J58">IF(Q58&lt;&gt;0, HEX2DEC(Reverse(Q58))-$I58,"")</f>
        <v>11</v>
      </c>
      <c r="K58" s="18" cm="1">
        <f t="array" ref="K58">IF(R58&lt;&gt;0, HEX2DEC(Reverse(R58))-$I58,"")</f>
        <v>12</v>
      </c>
      <c r="L58" s="18" cm="1">
        <f t="array" ref="L58">IF(S58&lt;&gt;0, HEX2DEC(Reverse(S58))-$I58,"")</f>
        <v>12</v>
      </c>
      <c r="M58" s="18" cm="1">
        <f t="array" ref="M58">IF(T58&lt;&gt;0, HEX2DEC(Reverse(T58))-$I58,"")</f>
        <v>13</v>
      </c>
      <c r="O58" s="3">
        <v>1010100</v>
      </c>
      <c r="P58" s="3" t="s">
        <v>114</v>
      </c>
      <c r="Q58" s="3" t="s">
        <v>129</v>
      </c>
      <c r="R58" s="39" t="s">
        <v>130</v>
      </c>
      <c r="S58" s="3" t="s">
        <v>130</v>
      </c>
      <c r="T58" s="3" t="s">
        <v>131</v>
      </c>
      <c r="U58" s="3" t="s">
        <v>137</v>
      </c>
      <c r="V58" s="4" t="s">
        <v>138</v>
      </c>
      <c r="Y58" s="3" t="str">
        <f>MID(P58,7,2)&amp;MID(P58,5,2)&amp;MID(P58,3,2)&amp;MID(P58,1,2)</f>
        <v>0594b2b1</v>
      </c>
      <c r="Z58" s="3" t="str">
        <f>MID(Q58,7,2)&amp;MID(Q58,5,2)&amp;MID(Q58,3,2)&amp;MID(Q58,1,2)</f>
        <v>0594b2bc</v>
      </c>
      <c r="AA58" s="3" t="str">
        <f t="shared" si="18"/>
        <v>0594b2bd</v>
      </c>
      <c r="AB58" s="3" t="str">
        <f t="shared" si="19"/>
        <v>0594b2bd</v>
      </c>
      <c r="AC58" s="3" t="str">
        <f t="shared" si="20"/>
        <v>0594b2be</v>
      </c>
      <c r="AD58" s="3" t="str">
        <f t="shared" si="21"/>
        <v>306d643a</v>
      </c>
      <c r="AE58" s="3">
        <f t="shared" si="22"/>
        <v>93631153</v>
      </c>
      <c r="AF58" s="3">
        <f t="shared" si="23"/>
        <v>93631164</v>
      </c>
      <c r="AG58" s="3">
        <f t="shared" si="24"/>
        <v>93631165</v>
      </c>
      <c r="AH58" s="3">
        <f t="shared" si="25"/>
        <v>93631165</v>
      </c>
      <c r="AI58" s="3">
        <f t="shared" si="26"/>
        <v>93631166</v>
      </c>
      <c r="AJ58" s="3">
        <f t="shared" si="27"/>
        <v>812475450</v>
      </c>
      <c r="AK58" s="1">
        <f t="shared" si="10"/>
        <v>0</v>
      </c>
      <c r="AL58" s="1">
        <f t="shared" si="11"/>
        <v>11</v>
      </c>
      <c r="AM58" s="1">
        <f t="shared" si="12"/>
        <v>12</v>
      </c>
      <c r="AN58" s="1">
        <f t="shared" si="13"/>
        <v>12</v>
      </c>
      <c r="AO58" s="1">
        <f t="shared" si="14"/>
        <v>13</v>
      </c>
    </row>
    <row r="59" spans="1:41" x14ac:dyDescent="0.2">
      <c r="A59" s="20" t="s">
        <v>57</v>
      </c>
      <c r="B59" s="20">
        <v>2762</v>
      </c>
      <c r="C59" s="21" t="s">
        <v>1</v>
      </c>
      <c r="D59" s="21" t="s">
        <v>2</v>
      </c>
      <c r="E59" s="21" t="s">
        <v>90</v>
      </c>
      <c r="F59" s="21" t="s">
        <v>94</v>
      </c>
      <c r="G59" s="21" t="s">
        <v>1778</v>
      </c>
      <c r="H59" s="22" t="str" cm="1">
        <f t="array" ref="H59">Reverse2_6(O59)</f>
        <v>00-010201</v>
      </c>
      <c r="I59" s="45" cm="1">
        <f t="array" ref="I59">HEX2DEC(Reverse(P59))</f>
        <v>93631153</v>
      </c>
      <c r="J59" s="45" cm="1">
        <f t="array" ref="J59">IF(Q59&lt;&gt;0, HEX2DEC(Reverse(Q59))-$I59,"")</f>
        <v>13</v>
      </c>
      <c r="K59" s="45" cm="1">
        <f t="array" ref="K59">IF(R59&lt;&gt;0, HEX2DEC(Reverse(R59))-$I59,"")</f>
        <v>11</v>
      </c>
      <c r="L59" s="45" t="str" cm="1">
        <f t="array" ref="L59">IF(S59&lt;&gt;0, HEX2DEC(Reverse(S59))-$I59,"")</f>
        <v/>
      </c>
      <c r="M59" s="45" cm="1">
        <f t="array" ref="M59">IF(T59&lt;&gt;0, HEX2DEC(Reverse(T59))-$I59,"")</f>
        <v>12</v>
      </c>
      <c r="O59" s="3">
        <v>1020100</v>
      </c>
      <c r="P59" s="3" t="s">
        <v>114</v>
      </c>
      <c r="Q59" s="3" t="s">
        <v>131</v>
      </c>
      <c r="R59" s="39" t="s">
        <v>129</v>
      </c>
      <c r="S59" s="3">
        <v>0</v>
      </c>
      <c r="T59" s="3" t="s">
        <v>130</v>
      </c>
      <c r="U59" s="3"/>
      <c r="V59" s="4"/>
      <c r="Y59" s="3" t="str">
        <f>MID(P59,7,2)&amp;MID(P59,5,2)&amp;MID(P59,3,2)&amp;MID(P59,1,2)</f>
        <v>0594b2b1</v>
      </c>
      <c r="Z59" s="3" t="str">
        <f>MID(Q59,7,2)&amp;MID(Q59,5,2)&amp;MID(Q59,3,2)&amp;MID(Q59,1,2)</f>
        <v>0594b2be</v>
      </c>
      <c r="AA59" s="3" t="str">
        <f t="shared" si="18"/>
        <v>0594b2bc</v>
      </c>
      <c r="AB59" s="3" t="str">
        <f t="shared" si="19"/>
        <v>0</v>
      </c>
      <c r="AC59" s="3" t="str">
        <f t="shared" si="20"/>
        <v>0594b2bd</v>
      </c>
      <c r="AD59" s="3" t="str">
        <f t="shared" si="21"/>
        <v/>
      </c>
      <c r="AE59" s="3">
        <f t="shared" si="22"/>
        <v>93631153</v>
      </c>
      <c r="AF59" s="3">
        <f t="shared" si="23"/>
        <v>93631166</v>
      </c>
      <c r="AG59" s="3">
        <f t="shared" si="24"/>
        <v>93631164</v>
      </c>
      <c r="AH59" s="3">
        <f t="shared" si="25"/>
        <v>0</v>
      </c>
      <c r="AI59" s="3">
        <f t="shared" si="26"/>
        <v>93631165</v>
      </c>
      <c r="AJ59" s="3">
        <f t="shared" si="27"/>
        <v>0</v>
      </c>
      <c r="AK59" s="1">
        <f t="shared" si="10"/>
        <v>0</v>
      </c>
      <c r="AL59" s="1">
        <f t="shared" si="11"/>
        <v>13</v>
      </c>
      <c r="AM59" s="1">
        <f t="shared" si="12"/>
        <v>11</v>
      </c>
      <c r="AN59" s="1">
        <f t="shared" si="13"/>
        <v>-93631153</v>
      </c>
      <c r="AO59" s="1">
        <f t="shared" si="14"/>
        <v>12</v>
      </c>
    </row>
    <row r="60" spans="1:41" x14ac:dyDescent="0.2">
      <c r="A60" s="24" t="s">
        <v>58</v>
      </c>
      <c r="B60" s="24">
        <v>2765</v>
      </c>
      <c r="C60" s="25" t="s">
        <v>2</v>
      </c>
      <c r="D60" s="25" t="s">
        <v>1</v>
      </c>
      <c r="E60" s="25" t="s">
        <v>92</v>
      </c>
      <c r="F60" s="25" t="s">
        <v>94</v>
      </c>
      <c r="G60" s="25" t="s">
        <v>1777</v>
      </c>
      <c r="H60" s="26" t="str" cm="1">
        <f t="array" ref="H60">Reverse2_6(O60)</f>
        <v>00-010201</v>
      </c>
      <c r="I60" s="43" cm="1">
        <f t="array" ref="I60">HEX2DEC(Reverse(P60))</f>
        <v>93631153</v>
      </c>
      <c r="J60" s="43" cm="1">
        <f t="array" ref="J60">IF(Q60&lt;&gt;0, HEX2DEC(Reverse(Q60))-$I60,"")</f>
        <v>11</v>
      </c>
      <c r="K60" s="43" cm="1">
        <f t="array" ref="K60">IF(R60&lt;&gt;0, HEX2DEC(Reverse(R60))-$I60,"")</f>
        <v>13</v>
      </c>
      <c r="L60" s="43" t="str" cm="1">
        <f t="array" ref="L60">IF(S60&lt;&gt;0, HEX2DEC(Reverse(S60))-$I60,"")</f>
        <v/>
      </c>
      <c r="M60" s="43" cm="1">
        <f t="array" ref="M60">IF(T60&lt;&gt;0, HEX2DEC(Reverse(T60))-$I60,"")</f>
        <v>14</v>
      </c>
      <c r="O60" s="26">
        <v>1020100</v>
      </c>
      <c r="P60" s="26" t="s">
        <v>114</v>
      </c>
      <c r="Q60" s="26" t="s">
        <v>129</v>
      </c>
      <c r="R60" s="39" t="s">
        <v>131</v>
      </c>
      <c r="S60" s="26">
        <v>0</v>
      </c>
      <c r="T60" s="26" t="s">
        <v>134</v>
      </c>
      <c r="U60" s="3"/>
      <c r="V60" s="4"/>
      <c r="Y60" s="3" t="str">
        <f>MID(P60,7,2)&amp;MID(P60,5,2)&amp;MID(P60,3,2)&amp;MID(P60,1,2)</f>
        <v>0594b2b1</v>
      </c>
      <c r="Z60" s="3" t="str">
        <f>MID(Q60,7,2)&amp;MID(Q60,5,2)&amp;MID(Q60,3,2)&amp;MID(Q60,1,2)</f>
        <v>0594b2bc</v>
      </c>
      <c r="AA60" s="3" t="str">
        <f t="shared" si="18"/>
        <v>0594b2be</v>
      </c>
      <c r="AB60" s="3" t="str">
        <f t="shared" si="19"/>
        <v>0</v>
      </c>
      <c r="AC60" s="3" t="str">
        <f t="shared" si="20"/>
        <v>0594b2bf</v>
      </c>
      <c r="AD60" s="3" t="str">
        <f t="shared" si="21"/>
        <v/>
      </c>
      <c r="AE60" s="3">
        <f t="shared" si="22"/>
        <v>93631153</v>
      </c>
      <c r="AF60" s="3">
        <f t="shared" si="23"/>
        <v>93631164</v>
      </c>
      <c r="AG60" s="3">
        <f t="shared" si="24"/>
        <v>93631166</v>
      </c>
      <c r="AH60" s="3">
        <f t="shared" si="25"/>
        <v>0</v>
      </c>
      <c r="AI60" s="3">
        <f t="shared" si="26"/>
        <v>93631167</v>
      </c>
      <c r="AJ60" s="3">
        <f t="shared" si="27"/>
        <v>0</v>
      </c>
      <c r="AK60" s="1">
        <f t="shared" si="10"/>
        <v>0</v>
      </c>
      <c r="AL60" s="1">
        <f t="shared" si="11"/>
        <v>11</v>
      </c>
      <c r="AM60" s="1">
        <f t="shared" si="12"/>
        <v>13</v>
      </c>
      <c r="AN60" s="1">
        <f t="shared" si="13"/>
        <v>-93631153</v>
      </c>
      <c r="AO60" s="1">
        <f t="shared" si="14"/>
        <v>14</v>
      </c>
    </row>
    <row r="61" spans="1:41" x14ac:dyDescent="0.2">
      <c r="A61" s="16" t="s">
        <v>59</v>
      </c>
      <c r="B61" s="16">
        <v>2779</v>
      </c>
      <c r="C61" s="15" t="s">
        <v>2</v>
      </c>
      <c r="D61" s="15" t="s">
        <v>1</v>
      </c>
      <c r="E61" s="15" t="s">
        <v>92</v>
      </c>
      <c r="F61" s="15" t="s">
        <v>102</v>
      </c>
      <c r="G61" s="15"/>
      <c r="H61" s="17" t="str" cm="1">
        <f t="array" ref="H61">Reverse2_6(O61)</f>
        <v>00-010101</v>
      </c>
      <c r="I61" s="18" cm="1">
        <f t="array" ref="I61">HEX2DEC(Reverse(P61))</f>
        <v>93631153</v>
      </c>
      <c r="J61" s="18" cm="1">
        <f t="array" ref="J61">IF(Q61&lt;&gt;0, HEX2DEC(Reverse(Q61))-$I61,"")</f>
        <v>12</v>
      </c>
      <c r="K61" s="18" cm="1">
        <f t="array" ref="K61">IF(R61&lt;&gt;0, HEX2DEC(Reverse(R61))-$I61,"")</f>
        <v>13</v>
      </c>
      <c r="L61" s="18" cm="1">
        <f t="array" ref="L61">IF(S61&lt;&gt;0, HEX2DEC(Reverse(S61))-$I61,"")</f>
        <v>13</v>
      </c>
      <c r="M61" s="18" cm="1">
        <f t="array" ref="M61">IF(T61&lt;&gt;0, HEX2DEC(Reverse(T61))-$I61,"")</f>
        <v>14</v>
      </c>
      <c r="O61" s="3">
        <v>1010100</v>
      </c>
      <c r="P61" s="3" t="s">
        <v>114</v>
      </c>
      <c r="Q61" s="3" t="s">
        <v>130</v>
      </c>
      <c r="R61" s="39" t="s">
        <v>131</v>
      </c>
      <c r="S61" s="3" t="s">
        <v>131</v>
      </c>
      <c r="T61" s="3" t="s">
        <v>134</v>
      </c>
      <c r="U61" s="3">
        <v>31313131</v>
      </c>
      <c r="V61" s="4">
        <v>0</v>
      </c>
      <c r="Y61" s="3" t="str">
        <f>MID(P61,7,2)&amp;MID(P61,5,2)&amp;MID(P61,3,2)&amp;MID(P61,1,2)</f>
        <v>0594b2b1</v>
      </c>
      <c r="Z61" s="3" t="str">
        <f>MID(Q61,7,2)&amp;MID(Q61,5,2)&amp;MID(Q61,3,2)&amp;MID(Q61,1,2)</f>
        <v>0594b2bd</v>
      </c>
      <c r="AA61" s="3" t="str">
        <f t="shared" si="18"/>
        <v>0594b2be</v>
      </c>
      <c r="AB61" s="3" t="str">
        <f t="shared" si="19"/>
        <v>0594b2be</v>
      </c>
      <c r="AC61" s="3" t="str">
        <f t="shared" si="20"/>
        <v>0594b2bf</v>
      </c>
      <c r="AD61" s="3" t="str">
        <f t="shared" si="21"/>
        <v>31313131</v>
      </c>
      <c r="AE61" s="3">
        <f t="shared" si="22"/>
        <v>93631153</v>
      </c>
      <c r="AF61" s="3">
        <f t="shared" si="23"/>
        <v>93631165</v>
      </c>
      <c r="AG61" s="3">
        <f t="shared" si="24"/>
        <v>93631166</v>
      </c>
      <c r="AH61" s="3">
        <f t="shared" si="25"/>
        <v>93631166</v>
      </c>
      <c r="AI61" s="3">
        <f t="shared" si="26"/>
        <v>93631167</v>
      </c>
      <c r="AJ61" s="3">
        <f t="shared" si="27"/>
        <v>825307441</v>
      </c>
      <c r="AK61" s="1">
        <f t="shared" si="10"/>
        <v>0</v>
      </c>
      <c r="AL61" s="1">
        <f t="shared" si="11"/>
        <v>12</v>
      </c>
      <c r="AM61" s="1">
        <f t="shared" si="12"/>
        <v>13</v>
      </c>
      <c r="AN61" s="1">
        <f t="shared" si="13"/>
        <v>13</v>
      </c>
      <c r="AO61" s="1">
        <f t="shared" si="14"/>
        <v>14</v>
      </c>
    </row>
    <row r="62" spans="1:41" x14ac:dyDescent="0.2">
      <c r="A62" s="20" t="s">
        <v>60</v>
      </c>
      <c r="B62" s="20">
        <v>2780</v>
      </c>
      <c r="C62" s="21" t="s">
        <v>1</v>
      </c>
      <c r="D62" s="21" t="s">
        <v>2</v>
      </c>
      <c r="E62" s="21" t="s">
        <v>90</v>
      </c>
      <c r="F62" s="21" t="s">
        <v>94</v>
      </c>
      <c r="G62" s="21" t="s">
        <v>1778</v>
      </c>
      <c r="H62" s="22" t="str" cm="1">
        <f t="array" ref="H62">Reverse2_6(O62)</f>
        <v>00-010201</v>
      </c>
      <c r="I62" s="45" cm="1">
        <f t="array" ref="I62">HEX2DEC(Reverse(P62))</f>
        <v>93631153</v>
      </c>
      <c r="J62" s="45" cm="1">
        <f t="array" ref="J62">IF(Q62&lt;&gt;0, HEX2DEC(Reverse(Q62))-$I62,"")</f>
        <v>13</v>
      </c>
      <c r="K62" s="45" cm="1">
        <f t="array" ref="K62">IF(R62&lt;&gt;0, HEX2DEC(Reverse(R62))-$I62,"")</f>
        <v>12</v>
      </c>
      <c r="L62" s="45" t="str" cm="1">
        <f t="array" ref="L62">IF(S62&lt;&gt;0, HEX2DEC(Reverse(S62))-$I62,"")</f>
        <v/>
      </c>
      <c r="M62" s="45" cm="1">
        <f t="array" ref="M62">IF(T62&lt;&gt;0, HEX2DEC(Reverse(T62))-$I62,"")</f>
        <v>13</v>
      </c>
      <c r="O62" s="3">
        <v>1020100</v>
      </c>
      <c r="P62" s="3" t="s">
        <v>114</v>
      </c>
      <c r="Q62" s="3" t="s">
        <v>131</v>
      </c>
      <c r="R62" s="39" t="s">
        <v>130</v>
      </c>
      <c r="S62" s="3">
        <v>0</v>
      </c>
      <c r="T62" s="3" t="s">
        <v>131</v>
      </c>
      <c r="U62" s="3"/>
      <c r="V62" s="4"/>
      <c r="Y62" s="3" t="str">
        <f>MID(P62,7,2)&amp;MID(P62,5,2)&amp;MID(P62,3,2)&amp;MID(P62,1,2)</f>
        <v>0594b2b1</v>
      </c>
      <c r="Z62" s="3" t="str">
        <f>MID(Q62,7,2)&amp;MID(Q62,5,2)&amp;MID(Q62,3,2)&amp;MID(Q62,1,2)</f>
        <v>0594b2be</v>
      </c>
      <c r="AA62" s="3" t="str">
        <f t="shared" si="18"/>
        <v>0594b2bd</v>
      </c>
      <c r="AB62" s="3" t="str">
        <f t="shared" si="19"/>
        <v>0</v>
      </c>
      <c r="AC62" s="3" t="str">
        <f t="shared" si="20"/>
        <v>0594b2be</v>
      </c>
      <c r="AD62" s="3" t="str">
        <f t="shared" si="21"/>
        <v/>
      </c>
      <c r="AE62" s="3">
        <f t="shared" si="22"/>
        <v>93631153</v>
      </c>
      <c r="AF62" s="3">
        <f t="shared" si="23"/>
        <v>93631166</v>
      </c>
      <c r="AG62" s="3">
        <f t="shared" si="24"/>
        <v>93631165</v>
      </c>
      <c r="AH62" s="3">
        <f t="shared" si="25"/>
        <v>0</v>
      </c>
      <c r="AI62" s="3">
        <f t="shared" si="26"/>
        <v>93631166</v>
      </c>
      <c r="AJ62" s="3">
        <f t="shared" si="27"/>
        <v>0</v>
      </c>
      <c r="AK62" s="1">
        <f t="shared" si="10"/>
        <v>0</v>
      </c>
      <c r="AL62" s="1">
        <f t="shared" si="11"/>
        <v>13</v>
      </c>
      <c r="AM62" s="1">
        <f t="shared" si="12"/>
        <v>12</v>
      </c>
      <c r="AN62" s="1">
        <f t="shared" si="13"/>
        <v>-93631153</v>
      </c>
      <c r="AO62" s="1">
        <f t="shared" si="14"/>
        <v>13</v>
      </c>
    </row>
    <row r="63" spans="1:41" x14ac:dyDescent="0.2">
      <c r="A63" s="16" t="s">
        <v>61</v>
      </c>
      <c r="B63" s="16">
        <v>2786</v>
      </c>
      <c r="C63" s="15" t="s">
        <v>2</v>
      </c>
      <c r="D63" s="15" t="s">
        <v>1</v>
      </c>
      <c r="E63" s="15" t="s">
        <v>92</v>
      </c>
      <c r="F63" s="15" t="s">
        <v>108</v>
      </c>
      <c r="G63" s="15"/>
      <c r="H63" s="17" t="str" cm="1">
        <f t="array" ref="H63">Reverse2_6(O63)</f>
        <v>00-010101</v>
      </c>
      <c r="I63" s="18" cm="1">
        <f t="array" ref="I63">HEX2DEC(Reverse(P63))</f>
        <v>93631153</v>
      </c>
      <c r="J63" s="18" cm="1">
        <f t="array" ref="J63">IF(Q63&lt;&gt;0, HEX2DEC(Reverse(Q63))-$I63,"")</f>
        <v>13</v>
      </c>
      <c r="K63" s="18" cm="1">
        <f t="array" ref="K63">IF(R63&lt;&gt;0, HEX2DEC(Reverse(R63))-$I63,"")</f>
        <v>13</v>
      </c>
      <c r="L63" s="18" cm="1">
        <f t="array" ref="L63">IF(S63&lt;&gt;0, HEX2DEC(Reverse(S63))-$I63,"")</f>
        <v>14</v>
      </c>
      <c r="M63" s="18" cm="1">
        <f t="array" ref="M63">IF(T63&lt;&gt;0, HEX2DEC(Reverse(T63))-$I63,"")</f>
        <v>14</v>
      </c>
      <c r="O63" s="3">
        <v>1010100</v>
      </c>
      <c r="P63" s="3" t="s">
        <v>114</v>
      </c>
      <c r="Q63" s="3" t="s">
        <v>131</v>
      </c>
      <c r="R63" s="3" t="s">
        <v>131</v>
      </c>
      <c r="S63" s="3" t="s">
        <v>134</v>
      </c>
      <c r="T63" s="3" t="s">
        <v>134</v>
      </c>
      <c r="U63" s="3">
        <v>31313131</v>
      </c>
      <c r="V63" s="4" t="s">
        <v>139</v>
      </c>
      <c r="Y63" s="3" t="str">
        <f>MID(P63,7,2)&amp;MID(P63,5,2)&amp;MID(P63,3,2)&amp;MID(P63,1,2)</f>
        <v>0594b2b1</v>
      </c>
      <c r="Z63" s="3" t="str">
        <f>MID(Q63,7,2)&amp;MID(Q63,5,2)&amp;MID(Q63,3,2)&amp;MID(Q63,1,2)</f>
        <v>0594b2be</v>
      </c>
      <c r="AA63" s="3" t="str">
        <f t="shared" si="18"/>
        <v>0594b2be</v>
      </c>
      <c r="AB63" s="3" t="str">
        <f t="shared" si="19"/>
        <v>0594b2bf</v>
      </c>
      <c r="AC63" s="3" t="str">
        <f t="shared" si="20"/>
        <v>0594b2bf</v>
      </c>
      <c r="AD63" s="3" t="str">
        <f t="shared" si="21"/>
        <v>31313131</v>
      </c>
      <c r="AE63" s="3">
        <f t="shared" si="22"/>
        <v>93631153</v>
      </c>
      <c r="AF63" s="3">
        <f t="shared" si="23"/>
        <v>93631166</v>
      </c>
      <c r="AG63" s="3">
        <f t="shared" si="24"/>
        <v>93631166</v>
      </c>
      <c r="AH63" s="3">
        <f t="shared" si="25"/>
        <v>93631167</v>
      </c>
      <c r="AI63" s="3">
        <f t="shared" si="26"/>
        <v>93631167</v>
      </c>
      <c r="AJ63" s="3">
        <f t="shared" si="27"/>
        <v>825307441</v>
      </c>
      <c r="AK63" s="1">
        <f t="shared" si="10"/>
        <v>0</v>
      </c>
      <c r="AL63" s="1">
        <f t="shared" si="11"/>
        <v>13</v>
      </c>
      <c r="AM63" s="1">
        <f t="shared" si="12"/>
        <v>13</v>
      </c>
      <c r="AN63" s="1">
        <f t="shared" si="13"/>
        <v>14</v>
      </c>
      <c r="AO63" s="1">
        <f t="shared" si="14"/>
        <v>14</v>
      </c>
    </row>
    <row r="64" spans="1:41" x14ac:dyDescent="0.2">
      <c r="A64" s="20" t="s">
        <v>62</v>
      </c>
      <c r="B64" s="20">
        <v>2787</v>
      </c>
      <c r="C64" s="21" t="s">
        <v>1</v>
      </c>
      <c r="D64" s="21" t="s">
        <v>2</v>
      </c>
      <c r="E64" s="21" t="s">
        <v>90</v>
      </c>
      <c r="F64" s="21" t="s">
        <v>94</v>
      </c>
      <c r="G64" s="21" t="s">
        <v>1778</v>
      </c>
      <c r="H64" s="22" t="str" cm="1">
        <f t="array" ref="H64">Reverse2_6(O64)</f>
        <v>00-010201</v>
      </c>
      <c r="I64" s="45" cm="1">
        <f t="array" ref="I64">HEX2DEC(Reverse(P64))</f>
        <v>93631153</v>
      </c>
      <c r="J64" s="45" cm="1">
        <f t="array" ref="J64">IF(Q64&lt;&gt;0, HEX2DEC(Reverse(Q64))-$I64,"")</f>
        <v>13</v>
      </c>
      <c r="K64" s="45" cm="1">
        <f t="array" ref="K64">IF(R64&lt;&gt;0, HEX2DEC(Reverse(R64))-$I64,"")</f>
        <v>13</v>
      </c>
      <c r="L64" s="45" t="str" cm="1">
        <f t="array" ref="L64">IF(S64&lt;&gt;0, HEX2DEC(Reverse(S64))-$I64,"")</f>
        <v/>
      </c>
      <c r="M64" s="45" cm="1">
        <f t="array" ref="M64">IF(T64&lt;&gt;0, HEX2DEC(Reverse(T64))-$I64,"")</f>
        <v>14</v>
      </c>
      <c r="O64" s="3">
        <v>1020100</v>
      </c>
      <c r="P64" s="3" t="s">
        <v>114</v>
      </c>
      <c r="Q64" s="3" t="s">
        <v>131</v>
      </c>
      <c r="R64" s="3" t="s">
        <v>131</v>
      </c>
      <c r="S64" s="3">
        <v>0</v>
      </c>
      <c r="T64" s="3" t="s">
        <v>134</v>
      </c>
      <c r="U64" s="3"/>
      <c r="V64" s="4"/>
      <c r="Y64" s="3" t="str">
        <f>MID(P64,7,2)&amp;MID(P64,5,2)&amp;MID(P64,3,2)&amp;MID(P64,1,2)</f>
        <v>0594b2b1</v>
      </c>
      <c r="Z64" s="3" t="str">
        <f>MID(Q64,7,2)&amp;MID(Q64,5,2)&amp;MID(Q64,3,2)&amp;MID(Q64,1,2)</f>
        <v>0594b2be</v>
      </c>
      <c r="AA64" s="3" t="str">
        <f t="shared" si="18"/>
        <v>0594b2be</v>
      </c>
      <c r="AB64" s="3" t="str">
        <f t="shared" si="19"/>
        <v>0</v>
      </c>
      <c r="AC64" s="3" t="str">
        <f t="shared" si="20"/>
        <v>0594b2bf</v>
      </c>
      <c r="AD64" s="3" t="str">
        <f t="shared" si="21"/>
        <v/>
      </c>
      <c r="AE64" s="3">
        <f t="shared" si="22"/>
        <v>93631153</v>
      </c>
      <c r="AF64" s="3">
        <f t="shared" si="23"/>
        <v>93631166</v>
      </c>
      <c r="AG64" s="3">
        <f t="shared" si="24"/>
        <v>93631166</v>
      </c>
      <c r="AH64" s="3">
        <f t="shared" si="25"/>
        <v>0</v>
      </c>
      <c r="AI64" s="3">
        <f t="shared" si="26"/>
        <v>93631167</v>
      </c>
      <c r="AJ64" s="3">
        <f t="shared" si="27"/>
        <v>0</v>
      </c>
      <c r="AK64" s="1">
        <f t="shared" si="10"/>
        <v>0</v>
      </c>
      <c r="AL64" s="1">
        <f t="shared" si="11"/>
        <v>13</v>
      </c>
      <c r="AM64" s="1">
        <f t="shared" si="12"/>
        <v>13</v>
      </c>
      <c r="AN64" s="1">
        <f t="shared" si="13"/>
        <v>-93631153</v>
      </c>
      <c r="AO64" s="1">
        <f t="shared" si="14"/>
        <v>14</v>
      </c>
    </row>
    <row r="65" spans="1:41" x14ac:dyDescent="0.2">
      <c r="A65" s="16" t="s">
        <v>63</v>
      </c>
      <c r="B65" s="16">
        <v>2797</v>
      </c>
      <c r="C65" s="15" t="s">
        <v>2</v>
      </c>
      <c r="D65" s="15" t="s">
        <v>1</v>
      </c>
      <c r="E65" s="15" t="s">
        <v>92</v>
      </c>
      <c r="F65" s="15" t="s">
        <v>96</v>
      </c>
      <c r="G65" s="15" t="s">
        <v>169</v>
      </c>
      <c r="H65" s="17" t="str" cm="1">
        <f t="array" ref="H65">Reverse2_6(O65)</f>
        <v>00-010101</v>
      </c>
      <c r="I65" s="18" cm="1">
        <f t="array" ref="I65">HEX2DEC(Reverse(P65))</f>
        <v>93631153</v>
      </c>
      <c r="J65" s="18" cm="1">
        <f t="array" ref="J65">IF(Q65&lt;&gt;0, HEX2DEC(Reverse(Q65))-$I65,"")</f>
        <v>14</v>
      </c>
      <c r="K65" s="18" cm="1">
        <f t="array" ref="K65">IF(R65&lt;&gt;0, HEX2DEC(Reverse(R65))-$I65,"")</f>
        <v>13</v>
      </c>
      <c r="L65" s="18" cm="1">
        <f t="array" ref="L65">IF(S65&lt;&gt;0, HEX2DEC(Reverse(S65))-$I65,"")</f>
        <v>15</v>
      </c>
      <c r="M65" s="18" cm="1">
        <f t="array" ref="M65">IF(T65&lt;&gt;0, HEX2DEC(Reverse(T65))-$I65,"")</f>
        <v>14</v>
      </c>
      <c r="O65" s="3">
        <v>1010100</v>
      </c>
      <c r="P65" s="3" t="s">
        <v>114</v>
      </c>
      <c r="Q65" s="3" t="s">
        <v>134</v>
      </c>
      <c r="R65" s="3" t="s">
        <v>131</v>
      </c>
      <c r="S65" s="3" t="s">
        <v>140</v>
      </c>
      <c r="T65" s="3" t="s">
        <v>134</v>
      </c>
      <c r="U65" s="3">
        <v>31313131</v>
      </c>
      <c r="V65" s="4" t="s">
        <v>141</v>
      </c>
      <c r="Y65" s="3" t="str">
        <f>MID(P65,7,2)&amp;MID(P65,5,2)&amp;MID(P65,3,2)&amp;MID(P65,1,2)</f>
        <v>0594b2b1</v>
      </c>
      <c r="Z65" s="3" t="str">
        <f>MID(Q65,7,2)&amp;MID(Q65,5,2)&amp;MID(Q65,3,2)&amp;MID(Q65,1,2)</f>
        <v>0594b2bf</v>
      </c>
      <c r="AA65" s="3" t="str">
        <f t="shared" si="18"/>
        <v>0594b2be</v>
      </c>
      <c r="AB65" s="3" t="str">
        <f t="shared" si="19"/>
        <v>0594b2c0</v>
      </c>
      <c r="AC65" s="3" t="str">
        <f t="shared" si="20"/>
        <v>0594b2bf</v>
      </c>
      <c r="AD65" s="3" t="str">
        <f t="shared" si="21"/>
        <v>31313131</v>
      </c>
      <c r="AE65" s="3">
        <f t="shared" si="22"/>
        <v>93631153</v>
      </c>
      <c r="AF65" s="3">
        <f t="shared" si="23"/>
        <v>93631167</v>
      </c>
      <c r="AG65" s="3">
        <f t="shared" si="24"/>
        <v>93631166</v>
      </c>
      <c r="AH65" s="3">
        <f t="shared" si="25"/>
        <v>93631168</v>
      </c>
      <c r="AI65" s="3">
        <f t="shared" si="26"/>
        <v>93631167</v>
      </c>
      <c r="AJ65" s="3">
        <f t="shared" si="27"/>
        <v>825307441</v>
      </c>
      <c r="AK65" s="1">
        <f t="shared" si="10"/>
        <v>0</v>
      </c>
      <c r="AL65" s="1">
        <f t="shared" si="11"/>
        <v>14</v>
      </c>
      <c r="AM65" s="1">
        <f t="shared" si="12"/>
        <v>13</v>
      </c>
      <c r="AN65" s="1">
        <f t="shared" si="13"/>
        <v>15</v>
      </c>
      <c r="AO65" s="1">
        <f t="shared" si="14"/>
        <v>14</v>
      </c>
    </row>
    <row r="66" spans="1:41" x14ac:dyDescent="0.2">
      <c r="A66" s="16" t="s">
        <v>64</v>
      </c>
      <c r="B66" s="16">
        <v>2798</v>
      </c>
      <c r="C66" s="15" t="s">
        <v>2</v>
      </c>
      <c r="D66" s="15" t="s">
        <v>1</v>
      </c>
      <c r="E66" s="15" t="s">
        <v>92</v>
      </c>
      <c r="F66" s="15" t="s">
        <v>109</v>
      </c>
      <c r="G66" s="15"/>
      <c r="H66" s="17" t="str" cm="1">
        <f t="array" ref="H66">Reverse2_6(O66)</f>
        <v>00-010101</v>
      </c>
      <c r="I66" s="18" cm="1">
        <f t="array" ref="I66">HEX2DEC(Reverse(P66))</f>
        <v>93631153</v>
      </c>
      <c r="J66" s="18" cm="1">
        <f t="array" ref="J66">IF(Q66&lt;&gt;0, HEX2DEC(Reverse(Q66))-$I66,"")</f>
        <v>15</v>
      </c>
      <c r="K66" s="18" cm="1">
        <f t="array" ref="K66">IF(R66&lt;&gt;0, HEX2DEC(Reverse(R66))-$I66,"")</f>
        <v>13</v>
      </c>
      <c r="L66" s="18" cm="1">
        <f t="array" ref="L66">IF(S66&lt;&gt;0, HEX2DEC(Reverse(S66))-$I66,"")</f>
        <v>16</v>
      </c>
      <c r="M66" s="18" cm="1">
        <f t="array" ref="M66">IF(T66&lt;&gt;0, HEX2DEC(Reverse(T66))-$I66,"")</f>
        <v>14</v>
      </c>
      <c r="O66" s="3">
        <v>1010100</v>
      </c>
      <c r="P66" s="3" t="s">
        <v>114</v>
      </c>
      <c r="Q66" s="3" t="s">
        <v>140</v>
      </c>
      <c r="R66" s="3" t="s">
        <v>131</v>
      </c>
      <c r="S66" s="3" t="s">
        <v>142</v>
      </c>
      <c r="T66" s="3" t="s">
        <v>134</v>
      </c>
      <c r="U66" s="3" t="s">
        <v>143</v>
      </c>
      <c r="V66" s="4" t="s">
        <v>144</v>
      </c>
      <c r="Y66" s="3" t="str">
        <f>MID(P66,7,2)&amp;MID(P66,5,2)&amp;MID(P66,3,2)&amp;MID(P66,1,2)</f>
        <v>0594b2b1</v>
      </c>
      <c r="Z66" s="3" t="str">
        <f>MID(Q66,7,2)&amp;MID(Q66,5,2)&amp;MID(Q66,3,2)&amp;MID(Q66,1,2)</f>
        <v>0594b2c0</v>
      </c>
      <c r="AA66" s="3" t="str">
        <f t="shared" si="18"/>
        <v>0594b2be</v>
      </c>
      <c r="AB66" s="3" t="str">
        <f t="shared" si="19"/>
        <v>0594b2c1</v>
      </c>
      <c r="AC66" s="3" t="str">
        <f t="shared" si="20"/>
        <v>0594b2bf</v>
      </c>
      <c r="AD66" s="3" t="str">
        <f t="shared" si="21"/>
        <v>3635322c</v>
      </c>
      <c r="AE66" s="3">
        <f t="shared" si="22"/>
        <v>93631153</v>
      </c>
      <c r="AF66" s="3">
        <f t="shared" si="23"/>
        <v>93631168</v>
      </c>
      <c r="AG66" s="3">
        <f t="shared" si="24"/>
        <v>93631166</v>
      </c>
      <c r="AH66" s="3">
        <f t="shared" si="25"/>
        <v>93631169</v>
      </c>
      <c r="AI66" s="3">
        <f t="shared" si="26"/>
        <v>93631167</v>
      </c>
      <c r="AJ66" s="3">
        <f t="shared" si="27"/>
        <v>909455916</v>
      </c>
      <c r="AK66" s="1">
        <f t="shared" si="10"/>
        <v>0</v>
      </c>
      <c r="AL66" s="1">
        <f t="shared" si="11"/>
        <v>15</v>
      </c>
      <c r="AM66" s="1">
        <f t="shared" si="12"/>
        <v>13</v>
      </c>
      <c r="AN66" s="1">
        <f t="shared" si="13"/>
        <v>16</v>
      </c>
      <c r="AO66" s="1">
        <f t="shared" si="14"/>
        <v>14</v>
      </c>
    </row>
    <row r="67" spans="1:41" x14ac:dyDescent="0.2">
      <c r="A67" s="20" t="s">
        <v>65</v>
      </c>
      <c r="B67" s="20">
        <v>2799</v>
      </c>
      <c r="C67" s="21" t="s">
        <v>1</v>
      </c>
      <c r="D67" s="21" t="s">
        <v>2</v>
      </c>
      <c r="E67" s="21" t="s">
        <v>90</v>
      </c>
      <c r="F67" s="21" t="s">
        <v>94</v>
      </c>
      <c r="G67" s="21" t="s">
        <v>1778</v>
      </c>
      <c r="H67" s="22" t="str" cm="1">
        <f t="array" ref="H67">Reverse2_6(O67)</f>
        <v>00-010201</v>
      </c>
      <c r="I67" s="45" cm="1">
        <f t="array" ref="I67">HEX2DEC(Reverse(P67))</f>
        <v>93631153</v>
      </c>
      <c r="J67" s="45" cm="1">
        <f t="array" ref="J67">IF(Q67&lt;&gt;0, HEX2DEC(Reverse(Q67))-$I67,"")</f>
        <v>13</v>
      </c>
      <c r="K67" s="45" cm="1">
        <f t="array" ref="K67">IF(R67&lt;&gt;0, HEX2DEC(Reverse(R67))-$I67,"")</f>
        <v>14</v>
      </c>
      <c r="L67" s="45" t="str" cm="1">
        <f t="array" ref="L67">IF(S67&lt;&gt;0, HEX2DEC(Reverse(S67))-$I67,"")</f>
        <v/>
      </c>
      <c r="M67" s="45" cm="1">
        <f t="array" ref="M67">IF(T67&lt;&gt;0, HEX2DEC(Reverse(T67))-$I67,"")</f>
        <v>15</v>
      </c>
      <c r="O67" s="3">
        <v>1020100</v>
      </c>
      <c r="P67" s="3" t="s">
        <v>114</v>
      </c>
      <c r="Q67" s="3" t="s">
        <v>131</v>
      </c>
      <c r="R67" s="3" t="s">
        <v>134</v>
      </c>
      <c r="S67" s="3">
        <v>0</v>
      </c>
      <c r="T67" s="3" t="s">
        <v>140</v>
      </c>
      <c r="U67" s="3"/>
      <c r="V67" s="4"/>
      <c r="Y67" s="3" t="str">
        <f>MID(P67,7,2)&amp;MID(P67,5,2)&amp;MID(P67,3,2)&amp;MID(P67,1,2)</f>
        <v>0594b2b1</v>
      </c>
      <c r="Z67" s="3" t="str">
        <f>MID(Q67,7,2)&amp;MID(Q67,5,2)&amp;MID(Q67,3,2)&amp;MID(Q67,1,2)</f>
        <v>0594b2be</v>
      </c>
      <c r="AA67" s="3" t="str">
        <f t="shared" si="18"/>
        <v>0594b2bf</v>
      </c>
      <c r="AB67" s="3" t="str">
        <f t="shared" si="19"/>
        <v>0</v>
      </c>
      <c r="AC67" s="3" t="str">
        <f t="shared" si="20"/>
        <v>0594b2c0</v>
      </c>
      <c r="AD67" s="3" t="str">
        <f t="shared" si="21"/>
        <v/>
      </c>
      <c r="AE67" s="3">
        <f t="shared" si="22"/>
        <v>93631153</v>
      </c>
      <c r="AF67" s="3">
        <f t="shared" si="23"/>
        <v>93631166</v>
      </c>
      <c r="AG67" s="3">
        <f t="shared" si="24"/>
        <v>93631167</v>
      </c>
      <c r="AH67" s="3">
        <f t="shared" si="25"/>
        <v>0</v>
      </c>
      <c r="AI67" s="3">
        <f t="shared" si="26"/>
        <v>93631168</v>
      </c>
      <c r="AJ67" s="3">
        <f t="shared" si="27"/>
        <v>0</v>
      </c>
      <c r="AK67" s="1">
        <f t="shared" si="10"/>
        <v>0</v>
      </c>
      <c r="AL67" s="1">
        <f t="shared" si="11"/>
        <v>13</v>
      </c>
      <c r="AM67" s="1">
        <f t="shared" si="12"/>
        <v>14</v>
      </c>
      <c r="AN67" s="1">
        <f t="shared" si="13"/>
        <v>-93631153</v>
      </c>
      <c r="AO67" s="1">
        <f t="shared" si="14"/>
        <v>15</v>
      </c>
    </row>
    <row r="68" spans="1:41" x14ac:dyDescent="0.2">
      <c r="A68" s="20" t="s">
        <v>66</v>
      </c>
      <c r="B68" s="20">
        <v>2800</v>
      </c>
      <c r="C68" s="21" t="s">
        <v>1</v>
      </c>
      <c r="D68" s="21" t="s">
        <v>2</v>
      </c>
      <c r="E68" s="21" t="s">
        <v>90</v>
      </c>
      <c r="F68" s="21" t="s">
        <v>94</v>
      </c>
      <c r="G68" s="21" t="s">
        <v>1778</v>
      </c>
      <c r="H68" s="22" t="str" cm="1">
        <f t="array" ref="H68">Reverse2_6(O68)</f>
        <v>00-010201</v>
      </c>
      <c r="I68" s="45" cm="1">
        <f t="array" ref="I68">HEX2DEC(Reverse(P68))</f>
        <v>93631153</v>
      </c>
      <c r="J68" s="45" cm="1">
        <f t="array" ref="J68">IF(Q68&lt;&gt;0, HEX2DEC(Reverse(Q68))-$I68,"")</f>
        <v>13</v>
      </c>
      <c r="K68" s="45" cm="1">
        <f t="array" ref="K68">IF(R68&lt;&gt;0, HEX2DEC(Reverse(R68))-$I68,"")</f>
        <v>15</v>
      </c>
      <c r="L68" s="45" t="str" cm="1">
        <f t="array" ref="L68">IF(S68&lt;&gt;0, HEX2DEC(Reverse(S68))-$I68,"")</f>
        <v/>
      </c>
      <c r="M68" s="45" cm="1">
        <f t="array" ref="M68">IF(T68&lt;&gt;0, HEX2DEC(Reverse(T68))-$I68,"")</f>
        <v>16</v>
      </c>
      <c r="O68" s="3">
        <v>1020100</v>
      </c>
      <c r="P68" s="3" t="s">
        <v>114</v>
      </c>
      <c r="Q68" s="3" t="s">
        <v>131</v>
      </c>
      <c r="R68" s="3" t="s">
        <v>140</v>
      </c>
      <c r="S68" s="3">
        <v>0</v>
      </c>
      <c r="T68" s="3" t="s">
        <v>142</v>
      </c>
      <c r="U68" s="3"/>
      <c r="V68" s="4"/>
      <c r="Y68" s="3" t="str">
        <f>MID(P68,7,2)&amp;MID(P68,5,2)&amp;MID(P68,3,2)&amp;MID(P68,1,2)</f>
        <v>0594b2b1</v>
      </c>
      <c r="Z68" s="3" t="str">
        <f>MID(Q68,7,2)&amp;MID(Q68,5,2)&amp;MID(Q68,3,2)&amp;MID(Q68,1,2)</f>
        <v>0594b2be</v>
      </c>
      <c r="AA68" s="3" t="str">
        <f t="shared" si="18"/>
        <v>0594b2c0</v>
      </c>
      <c r="AB68" s="3" t="str">
        <f t="shared" si="19"/>
        <v>0</v>
      </c>
      <c r="AC68" s="3" t="str">
        <f t="shared" si="20"/>
        <v>0594b2c1</v>
      </c>
      <c r="AD68" s="3" t="str">
        <f t="shared" si="21"/>
        <v/>
      </c>
      <c r="AE68" s="3">
        <f t="shared" si="22"/>
        <v>93631153</v>
      </c>
      <c r="AF68" s="3">
        <f t="shared" si="23"/>
        <v>93631166</v>
      </c>
      <c r="AG68" s="3">
        <f t="shared" si="24"/>
        <v>93631168</v>
      </c>
      <c r="AH68" s="3">
        <f t="shared" si="25"/>
        <v>0</v>
      </c>
      <c r="AI68" s="3">
        <f t="shared" si="26"/>
        <v>93631169</v>
      </c>
      <c r="AJ68" s="3">
        <f t="shared" si="27"/>
        <v>0</v>
      </c>
      <c r="AK68" s="1">
        <f t="shared" si="10"/>
        <v>0</v>
      </c>
      <c r="AL68" s="1">
        <f t="shared" si="11"/>
        <v>13</v>
      </c>
      <c r="AM68" s="1">
        <f t="shared" si="12"/>
        <v>15</v>
      </c>
      <c r="AN68" s="1">
        <f t="shared" si="13"/>
        <v>-93631153</v>
      </c>
      <c r="AO68" s="1">
        <f t="shared" si="14"/>
        <v>16</v>
      </c>
    </row>
    <row r="69" spans="1:41" ht="409.6" x14ac:dyDescent="0.2">
      <c r="A69" s="46" t="s">
        <v>67</v>
      </c>
      <c r="B69" s="46">
        <v>2809</v>
      </c>
      <c r="C69" s="36" t="s">
        <v>1</v>
      </c>
      <c r="D69" s="36" t="s">
        <v>2</v>
      </c>
      <c r="E69" s="36" t="s">
        <v>90</v>
      </c>
      <c r="F69" s="36" t="s">
        <v>110</v>
      </c>
      <c r="G69" s="36" t="s">
        <v>1776</v>
      </c>
      <c r="H69" s="35" t="str" cm="1">
        <f t="array" ref="H69">Reverse2_6(O69)</f>
        <v>00-010101</v>
      </c>
      <c r="I69" s="44" cm="1">
        <f t="array" ref="I69">HEX2DEC(Reverse(P69))</f>
        <v>93631153</v>
      </c>
      <c r="J69" s="44" cm="1">
        <f t="array" ref="J69">IF(Q69&lt;&gt;0, HEX2DEC(Reverse(Q69))-$I69,"")</f>
        <v>14</v>
      </c>
      <c r="K69" s="44" cm="1">
        <f t="array" ref="K69">IF(R69&lt;&gt;0, HEX2DEC(Reverse(R69))-$I69,"")</f>
        <v>15</v>
      </c>
      <c r="L69" s="44" cm="1">
        <f t="array" ref="L69">IF(S69&lt;&gt;0, HEX2DEC(Reverse(S69))-$I69,"")</f>
        <v>15</v>
      </c>
      <c r="M69" s="44" cm="1">
        <f t="array" ref="M69">IF(T69&lt;&gt;0, HEX2DEC(Reverse(T69))-$I69,"")</f>
        <v>16</v>
      </c>
      <c r="O69" s="3">
        <v>1010100</v>
      </c>
      <c r="P69" s="3" t="s">
        <v>114</v>
      </c>
      <c r="Q69" s="3" t="s">
        <v>134</v>
      </c>
      <c r="R69" s="3" t="s">
        <v>140</v>
      </c>
      <c r="S69" s="3" t="s">
        <v>140</v>
      </c>
      <c r="T69" s="3" t="s">
        <v>142</v>
      </c>
      <c r="U69" s="3">
        <v>31313131</v>
      </c>
      <c r="V69" s="4" t="s">
        <v>1757</v>
      </c>
      <c r="W69" s="4" t="s">
        <v>1762</v>
      </c>
      <c r="X69" s="33" t="s">
        <v>1755</v>
      </c>
      <c r="Y69" s="3" t="str">
        <f>MID(P69,7,2)&amp;MID(P69,5,2)&amp;MID(P69,3,2)&amp;MID(P69,1,2)</f>
        <v>0594b2b1</v>
      </c>
      <c r="Z69" s="3" t="str">
        <f>MID(Q69,7,2)&amp;MID(Q69,5,2)&amp;MID(Q69,3,2)&amp;MID(Q69,1,2)</f>
        <v>0594b2bf</v>
      </c>
      <c r="AA69" s="3" t="str">
        <f t="shared" si="18"/>
        <v>0594b2c0</v>
      </c>
      <c r="AB69" s="3" t="str">
        <f t="shared" si="19"/>
        <v>0594b2c0</v>
      </c>
      <c r="AC69" s="3" t="str">
        <f t="shared" si="20"/>
        <v>0594b2c1</v>
      </c>
      <c r="AD69" s="3" t="str">
        <f t="shared" si="21"/>
        <v>31313131</v>
      </c>
      <c r="AE69" s="3">
        <f t="shared" si="22"/>
        <v>93631153</v>
      </c>
      <c r="AF69" s="3">
        <f t="shared" si="23"/>
        <v>93631167</v>
      </c>
      <c r="AG69" s="3">
        <f t="shared" si="24"/>
        <v>93631168</v>
      </c>
      <c r="AH69" s="3">
        <f t="shared" si="25"/>
        <v>93631168</v>
      </c>
      <c r="AI69" s="3">
        <f t="shared" si="26"/>
        <v>93631169</v>
      </c>
      <c r="AJ69" s="3">
        <f t="shared" si="27"/>
        <v>825307441</v>
      </c>
      <c r="AK69" s="1">
        <f t="shared" ref="AK69:AK84" si="28">AE69-93631153</f>
        <v>0</v>
      </c>
      <c r="AL69" s="1">
        <f t="shared" ref="AL69:AL84" si="29">AF69-93631153</f>
        <v>14</v>
      </c>
      <c r="AM69" s="1">
        <f t="shared" ref="AM69:AM84" si="30">AG69-93631153</f>
        <v>15</v>
      </c>
      <c r="AN69" s="1">
        <f t="shared" ref="AN69:AN84" si="31">AH69-93631153</f>
        <v>15</v>
      </c>
      <c r="AO69" s="1">
        <f t="shared" ref="AO69:AO84" si="32">AI69-93631153</f>
        <v>16</v>
      </c>
    </row>
    <row r="70" spans="1:41" ht="409.6" x14ac:dyDescent="0.2">
      <c r="A70" s="46" t="s">
        <v>68</v>
      </c>
      <c r="B70" s="46">
        <v>2810</v>
      </c>
      <c r="C70" s="36" t="s">
        <v>1</v>
      </c>
      <c r="D70" s="36" t="s">
        <v>2</v>
      </c>
      <c r="E70" s="36" t="s">
        <v>90</v>
      </c>
      <c r="F70" s="36" t="s">
        <v>106</v>
      </c>
      <c r="G70" s="36" t="s">
        <v>1754</v>
      </c>
      <c r="H70" s="35" t="str" cm="1">
        <f t="array" ref="H70">Reverse2_6(O70)</f>
        <v>00-010101</v>
      </c>
      <c r="I70" s="44" cm="1">
        <f t="array" ref="I70">HEX2DEC(Reverse(P70))</f>
        <v>93631153</v>
      </c>
      <c r="J70" s="44" cm="1">
        <f t="array" ref="J70">IF(Q70&lt;&gt;0, HEX2DEC(Reverse(Q70))-$I70,"")</f>
        <v>15</v>
      </c>
      <c r="K70" s="44" cm="1">
        <f t="array" ref="K70">IF(R70&lt;&gt;0, HEX2DEC(Reverse(R70))-$I70,"")</f>
        <v>15</v>
      </c>
      <c r="L70" s="44" cm="1">
        <f t="array" ref="L70">IF(S70&lt;&gt;0, HEX2DEC(Reverse(S70))-$I70,"")</f>
        <v>16</v>
      </c>
      <c r="M70" s="44" cm="1">
        <f t="array" ref="M70">IF(T70&lt;&gt;0, HEX2DEC(Reverse(T70))-$I70,"")</f>
        <v>16</v>
      </c>
      <c r="O70" s="3">
        <v>1010100</v>
      </c>
      <c r="P70" s="3" t="s">
        <v>114</v>
      </c>
      <c r="Q70" s="3" t="s">
        <v>140</v>
      </c>
      <c r="R70" s="3" t="s">
        <v>140</v>
      </c>
      <c r="S70" s="3" t="s">
        <v>142</v>
      </c>
      <c r="T70" s="3" t="s">
        <v>142</v>
      </c>
      <c r="U70" s="3">
        <v>31313131</v>
      </c>
      <c r="V70" s="4" t="s">
        <v>1758</v>
      </c>
      <c r="Y70" s="3" t="str">
        <f>MID(P70,7,2)&amp;MID(P70,5,2)&amp;MID(P70,3,2)&amp;MID(P70,1,2)</f>
        <v>0594b2b1</v>
      </c>
      <c r="Z70" s="3" t="str">
        <f>MID(Q70,7,2)&amp;MID(Q70,5,2)&amp;MID(Q70,3,2)&amp;MID(Q70,1,2)</f>
        <v>0594b2c0</v>
      </c>
      <c r="AA70" s="3" t="str">
        <f t="shared" si="18"/>
        <v>0594b2c0</v>
      </c>
      <c r="AB70" s="3" t="str">
        <f t="shared" si="19"/>
        <v>0594b2c1</v>
      </c>
      <c r="AC70" s="3" t="str">
        <f t="shared" si="20"/>
        <v>0594b2c1</v>
      </c>
      <c r="AD70" s="3" t="str">
        <f t="shared" si="21"/>
        <v>31313131</v>
      </c>
      <c r="AE70" s="3">
        <f t="shared" si="22"/>
        <v>93631153</v>
      </c>
      <c r="AF70" s="3">
        <f t="shared" si="23"/>
        <v>93631168</v>
      </c>
      <c r="AG70" s="3">
        <f t="shared" si="24"/>
        <v>93631168</v>
      </c>
      <c r="AH70" s="3">
        <f t="shared" si="25"/>
        <v>93631169</v>
      </c>
      <c r="AI70" s="3">
        <f t="shared" si="26"/>
        <v>93631169</v>
      </c>
      <c r="AJ70" s="3">
        <f t="shared" si="27"/>
        <v>825307441</v>
      </c>
      <c r="AK70" s="1">
        <f t="shared" si="28"/>
        <v>0</v>
      </c>
      <c r="AL70" s="1">
        <f t="shared" si="29"/>
        <v>15</v>
      </c>
      <c r="AM70" s="1">
        <f t="shared" si="30"/>
        <v>15</v>
      </c>
      <c r="AN70" s="1">
        <f t="shared" si="31"/>
        <v>16</v>
      </c>
      <c r="AO70" s="1">
        <f t="shared" si="32"/>
        <v>16</v>
      </c>
    </row>
    <row r="71" spans="1:41" x14ac:dyDescent="0.2">
      <c r="A71" s="16" t="s">
        <v>69</v>
      </c>
      <c r="B71" s="16">
        <v>2823</v>
      </c>
      <c r="C71" s="15" t="s">
        <v>2</v>
      </c>
      <c r="D71" s="15" t="s">
        <v>1</v>
      </c>
      <c r="E71" s="15" t="s">
        <v>92</v>
      </c>
      <c r="F71" s="15" t="s">
        <v>96</v>
      </c>
      <c r="G71" s="15" t="s">
        <v>170</v>
      </c>
      <c r="H71" s="17" t="str" cm="1">
        <f t="array" ref="H71">Reverse2_6(O71)</f>
        <v>00-010101</v>
      </c>
      <c r="I71" s="18" cm="1">
        <f t="array" ref="I71">HEX2DEC(Reverse(P71))</f>
        <v>93631153</v>
      </c>
      <c r="J71" s="18" cm="1">
        <f t="array" ref="J71">IF(Q71&lt;&gt;0, HEX2DEC(Reverse(Q71))-$I71,"")</f>
        <v>16</v>
      </c>
      <c r="K71" s="18" cm="1">
        <f t="array" ref="K71">IF(R71&lt;&gt;0, HEX2DEC(Reverse(R71))-$I71,"")</f>
        <v>13</v>
      </c>
      <c r="L71" s="18" cm="1">
        <f t="array" ref="L71">IF(S71&lt;&gt;0, HEX2DEC(Reverse(S71))-$I71,"")</f>
        <v>17</v>
      </c>
      <c r="M71" s="18" cm="1">
        <f t="array" ref="M71">IF(T71&lt;&gt;0, HEX2DEC(Reverse(T71))-$I71,"")</f>
        <v>14</v>
      </c>
      <c r="O71" s="3">
        <v>1010100</v>
      </c>
      <c r="P71" s="3" t="s">
        <v>114</v>
      </c>
      <c r="Q71" s="3" t="s">
        <v>142</v>
      </c>
      <c r="R71" s="3" t="s">
        <v>131</v>
      </c>
      <c r="S71" s="3" t="s">
        <v>146</v>
      </c>
      <c r="T71" s="3" t="s">
        <v>134</v>
      </c>
      <c r="U71" s="3">
        <v>31313131</v>
      </c>
      <c r="V71" s="4" t="s">
        <v>147</v>
      </c>
      <c r="Y71" s="3" t="str">
        <f>MID(P71,7,2)&amp;MID(P71,5,2)&amp;MID(P71,3,2)&amp;MID(P71,1,2)</f>
        <v>0594b2b1</v>
      </c>
      <c r="Z71" s="3" t="str">
        <f>MID(Q71,7,2)&amp;MID(Q71,5,2)&amp;MID(Q71,3,2)&amp;MID(Q71,1,2)</f>
        <v>0594b2c1</v>
      </c>
      <c r="AA71" s="3" t="str">
        <f t="shared" si="18"/>
        <v>0594b2be</v>
      </c>
      <c r="AB71" s="3" t="str">
        <f t="shared" si="19"/>
        <v>0594b2c2</v>
      </c>
      <c r="AC71" s="3" t="str">
        <f t="shared" si="20"/>
        <v>0594b2bf</v>
      </c>
      <c r="AD71" s="3" t="str">
        <f t="shared" si="21"/>
        <v>31313131</v>
      </c>
      <c r="AE71" s="3">
        <f t="shared" si="22"/>
        <v>93631153</v>
      </c>
      <c r="AF71" s="3">
        <f t="shared" si="23"/>
        <v>93631169</v>
      </c>
      <c r="AG71" s="3">
        <f t="shared" si="24"/>
        <v>93631166</v>
      </c>
      <c r="AH71" s="3">
        <f t="shared" si="25"/>
        <v>93631170</v>
      </c>
      <c r="AI71" s="3">
        <f t="shared" si="26"/>
        <v>93631167</v>
      </c>
      <c r="AJ71" s="3">
        <f t="shared" si="27"/>
        <v>825307441</v>
      </c>
      <c r="AK71" s="1">
        <f t="shared" si="28"/>
        <v>0</v>
      </c>
      <c r="AL71" s="1">
        <f t="shared" si="29"/>
        <v>16</v>
      </c>
      <c r="AM71" s="1">
        <f t="shared" si="30"/>
        <v>13</v>
      </c>
      <c r="AN71" s="1">
        <f t="shared" si="31"/>
        <v>17</v>
      </c>
      <c r="AO71" s="1">
        <f t="shared" si="32"/>
        <v>14</v>
      </c>
    </row>
    <row r="72" spans="1:41" x14ac:dyDescent="0.2">
      <c r="A72" s="16" t="s">
        <v>70</v>
      </c>
      <c r="B72" s="16">
        <v>2824</v>
      </c>
      <c r="C72" s="15" t="s">
        <v>2</v>
      </c>
      <c r="D72" s="15" t="s">
        <v>1</v>
      </c>
      <c r="E72" s="15" t="s">
        <v>92</v>
      </c>
      <c r="F72" s="15" t="s">
        <v>111</v>
      </c>
      <c r="G72" s="15"/>
      <c r="H72" s="17" t="str" cm="1">
        <f t="array" ref="H72">Reverse2_6(O72)</f>
        <v>00-010101</v>
      </c>
      <c r="I72" s="18" cm="1">
        <f t="array" ref="I72">HEX2DEC(Reverse(P72))</f>
        <v>93631153</v>
      </c>
      <c r="J72" s="18" cm="1">
        <f t="array" ref="J72">IF(Q72&lt;&gt;0, HEX2DEC(Reverse(Q72))-$I72,"")</f>
        <v>17</v>
      </c>
      <c r="K72" s="18" cm="1">
        <f t="array" ref="K72">IF(R72&lt;&gt;0, HEX2DEC(Reverse(R72))-$I72,"")</f>
        <v>13</v>
      </c>
      <c r="L72" s="18" cm="1">
        <f t="array" ref="L72">IF(S72&lt;&gt;0, HEX2DEC(Reverse(S72))-$I72,"")</f>
        <v>18</v>
      </c>
      <c r="M72" s="18" cm="1">
        <f t="array" ref="M72">IF(T72&lt;&gt;0, HEX2DEC(Reverse(T72))-$I72,"")</f>
        <v>14</v>
      </c>
      <c r="O72" s="3">
        <v>1010100</v>
      </c>
      <c r="P72" s="3" t="s">
        <v>114</v>
      </c>
      <c r="Q72" s="3" t="s">
        <v>146</v>
      </c>
      <c r="R72" s="3" t="s">
        <v>131</v>
      </c>
      <c r="S72" s="3" t="s">
        <v>148</v>
      </c>
      <c r="T72" s="3" t="s">
        <v>134</v>
      </c>
      <c r="U72" s="3">
        <v>32472623</v>
      </c>
      <c r="V72" s="4" t="s">
        <v>149</v>
      </c>
      <c r="Y72" s="3" t="str">
        <f>MID(P72,7,2)&amp;MID(P72,5,2)&amp;MID(P72,3,2)&amp;MID(P72,1,2)</f>
        <v>0594b2b1</v>
      </c>
      <c r="Z72" s="3" t="str">
        <f>MID(Q72,7,2)&amp;MID(Q72,5,2)&amp;MID(Q72,3,2)&amp;MID(Q72,1,2)</f>
        <v>0594b2c2</v>
      </c>
      <c r="AA72" s="3" t="str">
        <f t="shared" si="18"/>
        <v>0594b2be</v>
      </c>
      <c r="AB72" s="3" t="str">
        <f t="shared" si="19"/>
        <v>0594b2c3</v>
      </c>
      <c r="AC72" s="3" t="str">
        <f t="shared" si="20"/>
        <v>0594b2bf</v>
      </c>
      <c r="AD72" s="3" t="str">
        <f t="shared" si="21"/>
        <v>23264732</v>
      </c>
      <c r="AE72" s="3">
        <f t="shared" si="22"/>
        <v>93631153</v>
      </c>
      <c r="AF72" s="3">
        <f t="shared" si="23"/>
        <v>93631170</v>
      </c>
      <c r="AG72" s="3">
        <f t="shared" si="24"/>
        <v>93631166</v>
      </c>
      <c r="AH72" s="3">
        <f t="shared" si="25"/>
        <v>93631171</v>
      </c>
      <c r="AI72" s="3">
        <f t="shared" si="26"/>
        <v>93631167</v>
      </c>
      <c r="AJ72" s="3">
        <f t="shared" si="27"/>
        <v>589711154</v>
      </c>
      <c r="AK72" s="1">
        <f t="shared" si="28"/>
        <v>0</v>
      </c>
      <c r="AL72" s="1">
        <f t="shared" si="29"/>
        <v>17</v>
      </c>
      <c r="AM72" s="1">
        <f t="shared" si="30"/>
        <v>13</v>
      </c>
      <c r="AN72" s="1">
        <f t="shared" si="31"/>
        <v>18</v>
      </c>
      <c r="AO72" s="1">
        <f t="shared" si="32"/>
        <v>14</v>
      </c>
    </row>
    <row r="73" spans="1:41" x14ac:dyDescent="0.2">
      <c r="A73" s="20" t="s">
        <v>71</v>
      </c>
      <c r="B73" s="20">
        <v>2825</v>
      </c>
      <c r="C73" s="21" t="s">
        <v>1</v>
      </c>
      <c r="D73" s="21" t="s">
        <v>2</v>
      </c>
      <c r="E73" s="21" t="s">
        <v>90</v>
      </c>
      <c r="F73" s="21" t="s">
        <v>94</v>
      </c>
      <c r="G73" s="21" t="s">
        <v>1778</v>
      </c>
      <c r="H73" s="22" t="str" cm="1">
        <f t="array" ref="H73">Reverse2_6(O73)</f>
        <v>00-010201</v>
      </c>
      <c r="I73" s="45" cm="1">
        <f t="array" ref="I73">HEX2DEC(Reverse(P73))</f>
        <v>93631153</v>
      </c>
      <c r="J73" s="45" cm="1">
        <f t="array" ref="J73">IF(Q73&lt;&gt;0, HEX2DEC(Reverse(Q73))-$I73,"")</f>
        <v>15</v>
      </c>
      <c r="K73" s="45" cm="1">
        <f t="array" ref="K73">IF(R73&lt;&gt;0, HEX2DEC(Reverse(R73))-$I73,"")</f>
        <v>16</v>
      </c>
      <c r="L73" s="45" t="str" cm="1">
        <f t="array" ref="L73">IF(S73&lt;&gt;0, HEX2DEC(Reverse(S73))-$I73,"")</f>
        <v/>
      </c>
      <c r="M73" s="45" cm="1">
        <f t="array" ref="M73">IF(T73&lt;&gt;0, HEX2DEC(Reverse(T73))-$I73,"")</f>
        <v>17</v>
      </c>
      <c r="O73" s="29">
        <v>1020100</v>
      </c>
      <c r="P73" s="29" t="s">
        <v>114</v>
      </c>
      <c r="Q73" s="29" t="s">
        <v>140</v>
      </c>
      <c r="R73" s="29" t="s">
        <v>142</v>
      </c>
      <c r="S73" s="29">
        <v>0</v>
      </c>
      <c r="T73" s="29" t="s">
        <v>146</v>
      </c>
      <c r="U73" s="29"/>
      <c r="V73" s="4"/>
      <c r="Y73" s="3" t="str">
        <f>MID(P73,7,2)&amp;MID(P73,5,2)&amp;MID(P73,3,2)&amp;MID(P73,1,2)</f>
        <v>0594b2b1</v>
      </c>
      <c r="Z73" s="3" t="str">
        <f>MID(Q73,7,2)&amp;MID(Q73,5,2)&amp;MID(Q73,3,2)&amp;MID(Q73,1,2)</f>
        <v>0594b2c0</v>
      </c>
      <c r="AA73" s="3" t="str">
        <f t="shared" si="18"/>
        <v>0594b2c1</v>
      </c>
      <c r="AB73" s="3" t="str">
        <f t="shared" si="19"/>
        <v>0</v>
      </c>
      <c r="AC73" s="3" t="str">
        <f t="shared" si="20"/>
        <v>0594b2c2</v>
      </c>
      <c r="AD73" s="3" t="str">
        <f t="shared" si="21"/>
        <v/>
      </c>
      <c r="AE73" s="3">
        <f t="shared" si="22"/>
        <v>93631153</v>
      </c>
      <c r="AF73" s="3">
        <f t="shared" si="23"/>
        <v>93631168</v>
      </c>
      <c r="AG73" s="3">
        <f t="shared" si="24"/>
        <v>93631169</v>
      </c>
      <c r="AH73" s="3">
        <f t="shared" si="25"/>
        <v>0</v>
      </c>
      <c r="AI73" s="3">
        <f t="shared" si="26"/>
        <v>93631170</v>
      </c>
      <c r="AJ73" s="3">
        <f t="shared" si="27"/>
        <v>0</v>
      </c>
      <c r="AK73" s="1">
        <f t="shared" si="28"/>
        <v>0</v>
      </c>
      <c r="AL73" s="1">
        <f t="shared" si="29"/>
        <v>15</v>
      </c>
      <c r="AM73" s="1">
        <f t="shared" si="30"/>
        <v>16</v>
      </c>
      <c r="AN73" s="1">
        <f t="shared" si="31"/>
        <v>-93631153</v>
      </c>
      <c r="AO73" s="1">
        <f t="shared" si="32"/>
        <v>17</v>
      </c>
    </row>
    <row r="74" spans="1:41" x14ac:dyDescent="0.2">
      <c r="A74" s="20" t="s">
        <v>72</v>
      </c>
      <c r="B74" s="20">
        <v>2826</v>
      </c>
      <c r="C74" s="21" t="s">
        <v>1</v>
      </c>
      <c r="D74" s="21" t="s">
        <v>2</v>
      </c>
      <c r="E74" s="21" t="s">
        <v>90</v>
      </c>
      <c r="F74" s="21" t="s">
        <v>94</v>
      </c>
      <c r="G74" s="21" t="s">
        <v>1778</v>
      </c>
      <c r="H74" s="22" t="str" cm="1">
        <f t="array" ref="H74">Reverse2_6(O74)</f>
        <v>00-010201</v>
      </c>
      <c r="I74" s="45" cm="1">
        <f t="array" ref="I74">HEX2DEC(Reverse(P74))</f>
        <v>93631153</v>
      </c>
      <c r="J74" s="45" cm="1">
        <f t="array" ref="J74">IF(Q74&lt;&gt;0, HEX2DEC(Reverse(Q74))-$I74,"")</f>
        <v>15</v>
      </c>
      <c r="K74" s="45" cm="1">
        <f t="array" ref="K74">IF(R74&lt;&gt;0, HEX2DEC(Reverse(R74))-$I74,"")</f>
        <v>17</v>
      </c>
      <c r="L74" s="45" t="str" cm="1">
        <f t="array" ref="L74">IF(S74&lt;&gt;0, HEX2DEC(Reverse(S74))-$I74,"")</f>
        <v/>
      </c>
      <c r="M74" s="45" cm="1">
        <f t="array" ref="M74">IF(T74&lt;&gt;0, HEX2DEC(Reverse(T74))-$I74,"")</f>
        <v>18</v>
      </c>
      <c r="O74" s="29">
        <v>1020100</v>
      </c>
      <c r="P74" s="29" t="s">
        <v>114</v>
      </c>
      <c r="Q74" s="29" t="s">
        <v>140</v>
      </c>
      <c r="R74" s="19" t="s">
        <v>146</v>
      </c>
      <c r="S74" s="29">
        <v>0</v>
      </c>
      <c r="T74" s="29" t="s">
        <v>148</v>
      </c>
      <c r="U74" s="29"/>
      <c r="V74" s="4"/>
      <c r="Y74" s="3" t="str">
        <f>MID(P74,7,2)&amp;MID(P74,5,2)&amp;MID(P74,3,2)&amp;MID(P74,1,2)</f>
        <v>0594b2b1</v>
      </c>
      <c r="Z74" s="3" t="str">
        <f>MID(Q74,7,2)&amp;MID(Q74,5,2)&amp;MID(Q74,3,2)&amp;MID(Q74,1,2)</f>
        <v>0594b2c0</v>
      </c>
      <c r="AA74" s="3" t="str">
        <f t="shared" si="18"/>
        <v>0594b2c2</v>
      </c>
      <c r="AB74" s="3" t="str">
        <f t="shared" si="19"/>
        <v>0</v>
      </c>
      <c r="AC74" s="3" t="str">
        <f t="shared" si="20"/>
        <v>0594b2c3</v>
      </c>
      <c r="AD74" s="3" t="str">
        <f t="shared" si="21"/>
        <v/>
      </c>
      <c r="AE74" s="3">
        <f t="shared" si="22"/>
        <v>93631153</v>
      </c>
      <c r="AF74" s="3">
        <f t="shared" si="23"/>
        <v>93631168</v>
      </c>
      <c r="AG74" s="3">
        <f t="shared" si="24"/>
        <v>93631170</v>
      </c>
      <c r="AH74" s="3">
        <f t="shared" si="25"/>
        <v>0</v>
      </c>
      <c r="AI74" s="3">
        <f t="shared" si="26"/>
        <v>93631171</v>
      </c>
      <c r="AJ74" s="3">
        <f t="shared" si="27"/>
        <v>0</v>
      </c>
      <c r="AK74" s="1">
        <f t="shared" si="28"/>
        <v>0</v>
      </c>
      <c r="AL74" s="1">
        <f t="shared" si="29"/>
        <v>15</v>
      </c>
      <c r="AM74" s="1">
        <f t="shared" si="30"/>
        <v>17</v>
      </c>
      <c r="AN74" s="1">
        <f t="shared" si="31"/>
        <v>-93631153</v>
      </c>
      <c r="AO74" s="1">
        <f t="shared" si="32"/>
        <v>18</v>
      </c>
    </row>
    <row r="75" spans="1:41" x14ac:dyDescent="0.2">
      <c r="A75" s="24" t="s">
        <v>73</v>
      </c>
      <c r="B75" s="24">
        <v>2833</v>
      </c>
      <c r="C75" s="25" t="s">
        <v>2</v>
      </c>
      <c r="D75" s="25" t="s">
        <v>1</v>
      </c>
      <c r="E75" s="25" t="s">
        <v>92</v>
      </c>
      <c r="F75" s="25" t="s">
        <v>94</v>
      </c>
      <c r="G75" s="25" t="s">
        <v>1777</v>
      </c>
      <c r="H75" s="26" t="str" cm="1">
        <f t="array" ref="H75">Reverse2_6(O75)</f>
        <v>00-010201</v>
      </c>
      <c r="I75" s="43" cm="1">
        <f t="array" ref="I75">HEX2DEC(Reverse(P75))</f>
        <v>93631153</v>
      </c>
      <c r="J75" s="43" cm="1">
        <f t="array" ref="J75">IF(Q75&lt;&gt;0, HEX2DEC(Reverse(Q75))-$I75,"")</f>
        <v>17</v>
      </c>
      <c r="K75" s="43" cm="1">
        <f t="array" ref="K75">IF(R75&lt;&gt;0, HEX2DEC(Reverse(R75))-$I75,"")</f>
        <v>14</v>
      </c>
      <c r="L75" s="43" t="str" cm="1">
        <f t="array" ref="L75">IF(S75&lt;&gt;0, HEX2DEC(Reverse(S75))-$I75,"")</f>
        <v/>
      </c>
      <c r="M75" s="43" cm="1">
        <f t="array" ref="M75">IF(T75&lt;&gt;0, HEX2DEC(Reverse(T75))-$I75,"")</f>
        <v>15</v>
      </c>
      <c r="O75" s="26">
        <v>1020100</v>
      </c>
      <c r="P75" s="26" t="s">
        <v>114</v>
      </c>
      <c r="Q75" s="26" t="s">
        <v>146</v>
      </c>
      <c r="R75" s="3" t="s">
        <v>134</v>
      </c>
      <c r="S75" s="26">
        <v>0</v>
      </c>
      <c r="T75" s="26" t="s">
        <v>140</v>
      </c>
      <c r="U75" s="3"/>
      <c r="V75" s="4"/>
      <c r="Y75" s="3" t="str">
        <f>MID(P75,7,2)&amp;MID(P75,5,2)&amp;MID(P75,3,2)&amp;MID(P75,1,2)</f>
        <v>0594b2b1</v>
      </c>
      <c r="Z75" s="3" t="str">
        <f>MID(Q75,7,2)&amp;MID(Q75,5,2)&amp;MID(Q75,3,2)&amp;MID(Q75,1,2)</f>
        <v>0594b2c2</v>
      </c>
      <c r="AA75" s="3" t="str">
        <f t="shared" si="18"/>
        <v>0594b2bf</v>
      </c>
      <c r="AB75" s="3" t="str">
        <f t="shared" si="19"/>
        <v>0</v>
      </c>
      <c r="AC75" s="3" t="str">
        <f t="shared" si="20"/>
        <v>0594b2c0</v>
      </c>
      <c r="AD75" s="3" t="str">
        <f t="shared" si="21"/>
        <v/>
      </c>
      <c r="AE75" s="3">
        <f t="shared" si="22"/>
        <v>93631153</v>
      </c>
      <c r="AF75" s="3">
        <f t="shared" si="23"/>
        <v>93631170</v>
      </c>
      <c r="AG75" s="3">
        <f t="shared" si="24"/>
        <v>93631167</v>
      </c>
      <c r="AH75" s="3">
        <f t="shared" si="25"/>
        <v>0</v>
      </c>
      <c r="AI75" s="3">
        <f t="shared" si="26"/>
        <v>93631168</v>
      </c>
      <c r="AJ75" s="3">
        <f t="shared" si="27"/>
        <v>0</v>
      </c>
      <c r="AK75" s="1">
        <f t="shared" si="28"/>
        <v>0</v>
      </c>
      <c r="AL75" s="1">
        <f t="shared" si="29"/>
        <v>17</v>
      </c>
      <c r="AM75" s="1">
        <f t="shared" si="30"/>
        <v>14</v>
      </c>
      <c r="AN75" s="1">
        <f t="shared" si="31"/>
        <v>-93631153</v>
      </c>
      <c r="AO75" s="1">
        <f t="shared" si="32"/>
        <v>15</v>
      </c>
    </row>
    <row r="76" spans="1:41" x14ac:dyDescent="0.2">
      <c r="A76" s="24" t="s">
        <v>74</v>
      </c>
      <c r="B76" s="24">
        <v>2834</v>
      </c>
      <c r="C76" s="25" t="s">
        <v>2</v>
      </c>
      <c r="D76" s="25" t="s">
        <v>1</v>
      </c>
      <c r="E76" s="25" t="s">
        <v>92</v>
      </c>
      <c r="F76" s="25" t="s">
        <v>94</v>
      </c>
      <c r="G76" s="25" t="s">
        <v>1777</v>
      </c>
      <c r="H76" s="26" t="str" cm="1">
        <f t="array" ref="H76">Reverse2_6(O76)</f>
        <v>00-010201</v>
      </c>
      <c r="I76" s="43" cm="1">
        <f t="array" ref="I76">HEX2DEC(Reverse(P76))</f>
        <v>93631153</v>
      </c>
      <c r="J76" s="43" cm="1">
        <f t="array" ref="J76">IF(Q76&lt;&gt;0, HEX2DEC(Reverse(Q76))-$I76,"")</f>
        <v>17</v>
      </c>
      <c r="K76" s="43" cm="1">
        <f t="array" ref="K76">IF(R76&lt;&gt;0, HEX2DEC(Reverse(R76))-$I76,"")</f>
        <v>15</v>
      </c>
      <c r="L76" s="43" t="str" cm="1">
        <f t="array" ref="L76">IF(S76&lt;&gt;0, HEX2DEC(Reverse(S76))-$I76,"")</f>
        <v/>
      </c>
      <c r="M76" s="43" cm="1">
        <f t="array" ref="M76">IF(T76&lt;&gt;0, HEX2DEC(Reverse(T76))-$I76,"")</f>
        <v>16</v>
      </c>
      <c r="O76" s="26">
        <v>1020100</v>
      </c>
      <c r="P76" s="26" t="s">
        <v>114</v>
      </c>
      <c r="Q76" s="26" t="s">
        <v>146</v>
      </c>
      <c r="R76" s="3" t="s">
        <v>140</v>
      </c>
      <c r="S76" s="26">
        <v>0</v>
      </c>
      <c r="T76" s="26" t="s">
        <v>142</v>
      </c>
      <c r="U76" s="3"/>
      <c r="V76" s="4"/>
      <c r="Y76" s="3" t="str">
        <f>MID(P76,7,2)&amp;MID(P76,5,2)&amp;MID(P76,3,2)&amp;MID(P76,1,2)</f>
        <v>0594b2b1</v>
      </c>
      <c r="Z76" s="3" t="str">
        <f>MID(Q76,7,2)&amp;MID(Q76,5,2)&amp;MID(Q76,3,2)&amp;MID(Q76,1,2)</f>
        <v>0594b2c2</v>
      </c>
      <c r="AA76" s="3" t="str">
        <f t="shared" si="18"/>
        <v>0594b2c0</v>
      </c>
      <c r="AB76" s="3" t="str">
        <f t="shared" si="19"/>
        <v>0</v>
      </c>
      <c r="AC76" s="3" t="str">
        <f t="shared" si="20"/>
        <v>0594b2c1</v>
      </c>
      <c r="AD76" s="3" t="str">
        <f t="shared" si="21"/>
        <v/>
      </c>
      <c r="AE76" s="3">
        <f t="shared" si="22"/>
        <v>93631153</v>
      </c>
      <c r="AF76" s="3">
        <f t="shared" si="23"/>
        <v>93631170</v>
      </c>
      <c r="AG76" s="3">
        <f t="shared" si="24"/>
        <v>93631168</v>
      </c>
      <c r="AH76" s="3">
        <f t="shared" si="25"/>
        <v>0</v>
      </c>
      <c r="AI76" s="3">
        <f t="shared" si="26"/>
        <v>93631169</v>
      </c>
      <c r="AJ76" s="3">
        <f t="shared" si="27"/>
        <v>0</v>
      </c>
      <c r="AK76" s="1">
        <f t="shared" si="28"/>
        <v>0</v>
      </c>
      <c r="AL76" s="1">
        <f t="shared" si="29"/>
        <v>17</v>
      </c>
      <c r="AM76" s="1">
        <f t="shared" si="30"/>
        <v>15</v>
      </c>
      <c r="AN76" s="1">
        <f t="shared" si="31"/>
        <v>-93631153</v>
      </c>
      <c r="AO76" s="1">
        <f t="shared" si="32"/>
        <v>16</v>
      </c>
    </row>
    <row r="77" spans="1:41" x14ac:dyDescent="0.2">
      <c r="A77" s="16" t="s">
        <v>75</v>
      </c>
      <c r="B77" s="16">
        <v>2848</v>
      </c>
      <c r="C77" s="15" t="s">
        <v>2</v>
      </c>
      <c r="D77" s="15" t="s">
        <v>1</v>
      </c>
      <c r="E77" s="15" t="s">
        <v>92</v>
      </c>
      <c r="F77" s="15" t="s">
        <v>112</v>
      </c>
      <c r="G77" s="15"/>
      <c r="H77" s="17" t="str" cm="1">
        <f t="array" ref="H77">Reverse2_6(O77)</f>
        <v>00-010101</v>
      </c>
      <c r="I77" s="18" cm="1">
        <f t="array" ref="I77">HEX2DEC(Reverse(P77))</f>
        <v>93631153</v>
      </c>
      <c r="J77" s="18" cm="1">
        <f t="array" ref="J77">IF(Q77&lt;&gt;0, HEX2DEC(Reverse(Q77))-$I77,"")</f>
        <v>18</v>
      </c>
      <c r="K77" s="18" cm="1">
        <f t="array" ref="K77">IF(R77&lt;&gt;0, HEX2DEC(Reverse(R77))-$I77,"")</f>
        <v>15</v>
      </c>
      <c r="L77" s="18" cm="1">
        <f t="array" ref="L77">IF(S77&lt;&gt;0, HEX2DEC(Reverse(S77))-$I77,"")</f>
        <v>19</v>
      </c>
      <c r="M77" s="18" cm="1">
        <f t="array" ref="M77">IF(T77&lt;&gt;0, HEX2DEC(Reverse(T77))-$I77,"")</f>
        <v>16</v>
      </c>
      <c r="O77" s="3">
        <v>1010100</v>
      </c>
      <c r="P77" s="3" t="s">
        <v>114</v>
      </c>
      <c r="Q77" s="3" t="s">
        <v>148</v>
      </c>
      <c r="R77" s="3" t="s">
        <v>140</v>
      </c>
      <c r="S77" s="3" t="s">
        <v>150</v>
      </c>
      <c r="T77" s="3" t="s">
        <v>142</v>
      </c>
      <c r="U77" s="3">
        <v>31313131</v>
      </c>
      <c r="V77" s="4" t="s">
        <v>151</v>
      </c>
      <c r="Y77" s="3" t="str">
        <f>MID(P77,7,2)&amp;MID(P77,5,2)&amp;MID(P77,3,2)&amp;MID(P77,1,2)</f>
        <v>0594b2b1</v>
      </c>
      <c r="Z77" s="3" t="str">
        <f>MID(Q77,7,2)&amp;MID(Q77,5,2)&amp;MID(Q77,3,2)&amp;MID(Q77,1,2)</f>
        <v>0594b2c3</v>
      </c>
      <c r="AA77" s="3" t="str">
        <f t="shared" ref="AA77:AA84" si="33">MID(R77,7,2)&amp;MID(R77,5,2)&amp;MID(R77,3,2)&amp;MID(R77,1,2)</f>
        <v>0594b2c0</v>
      </c>
      <c r="AB77" s="3" t="str">
        <f t="shared" ref="AB77:AB84" si="34">MID(S77,7,2)&amp;MID(S77,5,2)&amp;MID(S77,3,2)&amp;MID(S77,1,2)</f>
        <v>0594b2c4</v>
      </c>
      <c r="AC77" s="3" t="str">
        <f t="shared" ref="AC77:AC84" si="35">MID(T77,7,2)&amp;MID(T77,5,2)&amp;MID(T77,3,2)&amp;MID(T77,1,2)</f>
        <v>0594b2c1</v>
      </c>
      <c r="AD77" s="3" t="str">
        <f t="shared" ref="AD77:AD84" si="36">MID(U77,7,2)&amp;MID(U77,5,2)&amp;MID(U77,3,2)&amp;MID(U77,1,2)</f>
        <v>31313131</v>
      </c>
      <c r="AE77" s="3">
        <f t="shared" ref="AE77:AE84" si="37">HEX2DEC(Y77)</f>
        <v>93631153</v>
      </c>
      <c r="AF77" s="3">
        <f t="shared" ref="AF77:AF84" si="38">HEX2DEC(Z77)</f>
        <v>93631171</v>
      </c>
      <c r="AG77" s="3">
        <f t="shared" ref="AG77:AG84" si="39">HEX2DEC(AA77)</f>
        <v>93631168</v>
      </c>
      <c r="AH77" s="3">
        <f t="shared" ref="AH77:AH84" si="40">HEX2DEC(AB77)</f>
        <v>93631172</v>
      </c>
      <c r="AI77" s="3">
        <f t="shared" ref="AI77:AI84" si="41">HEX2DEC(AC77)</f>
        <v>93631169</v>
      </c>
      <c r="AJ77" s="3">
        <f t="shared" ref="AJ77:AJ84" si="42">HEX2DEC(AD77)</f>
        <v>825307441</v>
      </c>
      <c r="AK77" s="1">
        <f t="shared" si="28"/>
        <v>0</v>
      </c>
      <c r="AL77" s="1">
        <f t="shared" si="29"/>
        <v>18</v>
      </c>
      <c r="AM77" s="1">
        <f t="shared" si="30"/>
        <v>15</v>
      </c>
      <c r="AN77" s="1">
        <f t="shared" si="31"/>
        <v>19</v>
      </c>
      <c r="AO77" s="1">
        <f t="shared" si="32"/>
        <v>16</v>
      </c>
    </row>
    <row r="78" spans="1:41" x14ac:dyDescent="0.2">
      <c r="A78" s="20" t="s">
        <v>76</v>
      </c>
      <c r="B78" s="20">
        <v>2849</v>
      </c>
      <c r="C78" s="21" t="s">
        <v>1</v>
      </c>
      <c r="D78" s="21" t="s">
        <v>2</v>
      </c>
      <c r="E78" s="21" t="s">
        <v>90</v>
      </c>
      <c r="F78" s="21" t="s">
        <v>94</v>
      </c>
      <c r="G78" s="21" t="s">
        <v>1778</v>
      </c>
      <c r="H78" s="22" t="str" cm="1">
        <f t="array" ref="H78">Reverse2_6(O78)</f>
        <v>00-010201</v>
      </c>
      <c r="I78" s="45" cm="1">
        <f t="array" ref="I78">HEX2DEC(Reverse(P78))</f>
        <v>93631153</v>
      </c>
      <c r="J78" s="45" cm="1">
        <f t="array" ref="J78">IF(Q78&lt;&gt;0, HEX2DEC(Reverse(Q78))-$I78,"")</f>
        <v>15</v>
      </c>
      <c r="K78" s="45" cm="1">
        <f t="array" ref="K78">IF(R78&lt;&gt;0, HEX2DEC(Reverse(R78))-$I78,"")</f>
        <v>18</v>
      </c>
      <c r="L78" s="45" t="str" cm="1">
        <f t="array" ref="L78">IF(S78&lt;&gt;0, HEX2DEC(Reverse(S78))-$I78,"")</f>
        <v/>
      </c>
      <c r="M78" s="45" cm="1">
        <f t="array" ref="M78">IF(T78&lt;&gt;0, HEX2DEC(Reverse(T78))-$I78,"")</f>
        <v>19</v>
      </c>
      <c r="O78" s="3">
        <v>1020100</v>
      </c>
      <c r="P78" s="3" t="s">
        <v>114</v>
      </c>
      <c r="Q78" s="3" t="s">
        <v>140</v>
      </c>
      <c r="R78" s="3" t="s">
        <v>148</v>
      </c>
      <c r="S78" s="3">
        <v>0</v>
      </c>
      <c r="T78" s="3" t="s">
        <v>150</v>
      </c>
      <c r="U78" s="3"/>
      <c r="V78" s="4"/>
      <c r="Y78" s="3" t="str">
        <f>MID(P78,7,2)&amp;MID(P78,5,2)&amp;MID(P78,3,2)&amp;MID(P78,1,2)</f>
        <v>0594b2b1</v>
      </c>
      <c r="Z78" s="3" t="str">
        <f>MID(Q78,7,2)&amp;MID(Q78,5,2)&amp;MID(Q78,3,2)&amp;MID(Q78,1,2)</f>
        <v>0594b2c0</v>
      </c>
      <c r="AA78" s="3" t="str">
        <f t="shared" si="33"/>
        <v>0594b2c3</v>
      </c>
      <c r="AB78" s="3" t="str">
        <f t="shared" si="34"/>
        <v>0</v>
      </c>
      <c r="AC78" s="3" t="str">
        <f t="shared" si="35"/>
        <v>0594b2c4</v>
      </c>
      <c r="AD78" s="3" t="str">
        <f t="shared" si="36"/>
        <v/>
      </c>
      <c r="AE78" s="3">
        <f t="shared" si="37"/>
        <v>93631153</v>
      </c>
      <c r="AF78" s="3">
        <f t="shared" si="38"/>
        <v>93631168</v>
      </c>
      <c r="AG78" s="3">
        <f t="shared" si="39"/>
        <v>93631171</v>
      </c>
      <c r="AH78" s="3">
        <f t="shared" si="40"/>
        <v>0</v>
      </c>
      <c r="AI78" s="3">
        <f t="shared" si="41"/>
        <v>93631172</v>
      </c>
      <c r="AJ78" s="3">
        <f t="shared" si="42"/>
        <v>0</v>
      </c>
      <c r="AK78" s="1">
        <f t="shared" si="28"/>
        <v>0</v>
      </c>
      <c r="AL78" s="1">
        <f t="shared" si="29"/>
        <v>15</v>
      </c>
      <c r="AM78" s="1">
        <f t="shared" si="30"/>
        <v>18</v>
      </c>
      <c r="AN78" s="1">
        <f t="shared" si="31"/>
        <v>-93631153</v>
      </c>
      <c r="AO78" s="1">
        <f t="shared" si="32"/>
        <v>19</v>
      </c>
    </row>
    <row r="79" spans="1:41" x14ac:dyDescent="0.2">
      <c r="A79" s="16" t="s">
        <v>77</v>
      </c>
      <c r="B79" s="16">
        <v>2863</v>
      </c>
      <c r="C79" s="15" t="s">
        <v>2</v>
      </c>
      <c r="D79" s="15" t="s">
        <v>1</v>
      </c>
      <c r="E79" s="15" t="s">
        <v>92</v>
      </c>
      <c r="F79" s="15" t="s">
        <v>96</v>
      </c>
      <c r="G79" s="15" t="s">
        <v>169</v>
      </c>
      <c r="H79" s="17" t="str" cm="1">
        <f t="array" ref="H79">Reverse2_6(O79)</f>
        <v>00-010101</v>
      </c>
      <c r="I79" s="18" cm="1">
        <f t="array" ref="I79">HEX2DEC(Reverse(P79))</f>
        <v>93631153</v>
      </c>
      <c r="J79" s="18" cm="1">
        <f t="array" ref="J79">IF(Q79&lt;&gt;0, HEX2DEC(Reverse(Q79))-$I79,"")</f>
        <v>19</v>
      </c>
      <c r="K79" s="18" cm="1">
        <f t="array" ref="K79">IF(R79&lt;&gt;0, HEX2DEC(Reverse(R79))-$I79,"")</f>
        <v>15</v>
      </c>
      <c r="L79" s="18" cm="1">
        <f t="array" ref="L79">IF(S79&lt;&gt;0, HEX2DEC(Reverse(S79))-$I79,"")</f>
        <v>20</v>
      </c>
      <c r="M79" s="18" cm="1">
        <f t="array" ref="M79">IF(T79&lt;&gt;0, HEX2DEC(Reverse(T79))-$I79,"")</f>
        <v>16</v>
      </c>
      <c r="O79" s="3">
        <v>1010100</v>
      </c>
      <c r="P79" s="3" t="s">
        <v>114</v>
      </c>
      <c r="Q79" s="3" t="s">
        <v>150</v>
      </c>
      <c r="R79" s="3" t="s">
        <v>140</v>
      </c>
      <c r="S79" s="3" t="s">
        <v>152</v>
      </c>
      <c r="T79" s="3" t="s">
        <v>142</v>
      </c>
      <c r="U79" s="3">
        <v>31313131</v>
      </c>
      <c r="V79" s="4" t="s">
        <v>141</v>
      </c>
      <c r="Y79" s="3" t="str">
        <f>MID(P79,7,2)&amp;MID(P79,5,2)&amp;MID(P79,3,2)&amp;MID(P79,1,2)</f>
        <v>0594b2b1</v>
      </c>
      <c r="Z79" s="3" t="str">
        <f>MID(Q79,7,2)&amp;MID(Q79,5,2)&amp;MID(Q79,3,2)&amp;MID(Q79,1,2)</f>
        <v>0594b2c4</v>
      </c>
      <c r="AA79" s="3" t="str">
        <f t="shared" si="33"/>
        <v>0594b2c0</v>
      </c>
      <c r="AB79" s="3" t="str">
        <f t="shared" si="34"/>
        <v>0594b2c5</v>
      </c>
      <c r="AC79" s="3" t="str">
        <f t="shared" si="35"/>
        <v>0594b2c1</v>
      </c>
      <c r="AD79" s="3" t="str">
        <f t="shared" si="36"/>
        <v>31313131</v>
      </c>
      <c r="AE79" s="3">
        <f t="shared" si="37"/>
        <v>93631153</v>
      </c>
      <c r="AF79" s="3">
        <f t="shared" si="38"/>
        <v>93631172</v>
      </c>
      <c r="AG79" s="3">
        <f t="shared" si="39"/>
        <v>93631168</v>
      </c>
      <c r="AH79" s="3">
        <f t="shared" si="40"/>
        <v>93631173</v>
      </c>
      <c r="AI79" s="3">
        <f t="shared" si="41"/>
        <v>93631169</v>
      </c>
      <c r="AJ79" s="3">
        <f t="shared" si="42"/>
        <v>825307441</v>
      </c>
      <c r="AK79" s="1">
        <f t="shared" si="28"/>
        <v>0</v>
      </c>
      <c r="AL79" s="1">
        <f t="shared" si="29"/>
        <v>19</v>
      </c>
      <c r="AM79" s="1">
        <f t="shared" si="30"/>
        <v>15</v>
      </c>
      <c r="AN79" s="1">
        <f t="shared" si="31"/>
        <v>20</v>
      </c>
      <c r="AO79" s="1">
        <f t="shared" si="32"/>
        <v>16</v>
      </c>
    </row>
    <row r="80" spans="1:41" x14ac:dyDescent="0.2">
      <c r="A80" s="16" t="s">
        <v>78</v>
      </c>
      <c r="B80" s="16">
        <v>2864</v>
      </c>
      <c r="C80" s="15" t="s">
        <v>2</v>
      </c>
      <c r="D80" s="15" t="s">
        <v>1</v>
      </c>
      <c r="E80" s="15" t="s">
        <v>92</v>
      </c>
      <c r="F80" s="15" t="s">
        <v>96</v>
      </c>
      <c r="G80" s="15" t="s">
        <v>171</v>
      </c>
      <c r="H80" s="17" t="str" cm="1">
        <f t="array" ref="H80">Reverse2_6(O80)</f>
        <v>00-010101</v>
      </c>
      <c r="I80" s="18" cm="1">
        <f t="array" ref="I80">HEX2DEC(Reverse(P80))</f>
        <v>93631153</v>
      </c>
      <c r="J80" s="18" cm="1">
        <f t="array" ref="J80">IF(Q80&lt;&gt;0, HEX2DEC(Reverse(Q80))-$I80,"")</f>
        <v>20</v>
      </c>
      <c r="K80" s="18" cm="1">
        <f t="array" ref="K80">IF(R80&lt;&gt;0, HEX2DEC(Reverse(R80))-$I80,"")</f>
        <v>15</v>
      </c>
      <c r="L80" s="18" cm="1">
        <f t="array" ref="L80">IF(S80&lt;&gt;0, HEX2DEC(Reverse(S80))-$I80,"")</f>
        <v>21</v>
      </c>
      <c r="M80" s="18" cm="1">
        <f t="array" ref="M80">IF(T80&lt;&gt;0, HEX2DEC(Reverse(T80))-$I80,"")</f>
        <v>16</v>
      </c>
      <c r="O80" s="3">
        <v>1010100</v>
      </c>
      <c r="P80" s="3" t="s">
        <v>114</v>
      </c>
      <c r="Q80" s="3" t="s">
        <v>152</v>
      </c>
      <c r="R80" s="3" t="s">
        <v>140</v>
      </c>
      <c r="S80" s="3" t="s">
        <v>153</v>
      </c>
      <c r="T80" s="3" t="s">
        <v>142</v>
      </c>
      <c r="U80" s="3" t="s">
        <v>143</v>
      </c>
      <c r="V80" s="4" t="s">
        <v>144</v>
      </c>
      <c r="Y80" s="3" t="str">
        <f>MID(P80,7,2)&amp;MID(P80,5,2)&amp;MID(P80,3,2)&amp;MID(P80,1,2)</f>
        <v>0594b2b1</v>
      </c>
      <c r="Z80" s="3" t="str">
        <f>MID(Q80,7,2)&amp;MID(Q80,5,2)&amp;MID(Q80,3,2)&amp;MID(Q80,1,2)</f>
        <v>0594b2c5</v>
      </c>
      <c r="AA80" s="3" t="str">
        <f t="shared" si="33"/>
        <v>0594b2c0</v>
      </c>
      <c r="AB80" s="3" t="str">
        <f t="shared" si="34"/>
        <v>0594b2c6</v>
      </c>
      <c r="AC80" s="3" t="str">
        <f t="shared" si="35"/>
        <v>0594b2c1</v>
      </c>
      <c r="AD80" s="3" t="str">
        <f t="shared" si="36"/>
        <v>3635322c</v>
      </c>
      <c r="AE80" s="3">
        <f t="shared" si="37"/>
        <v>93631153</v>
      </c>
      <c r="AF80" s="3">
        <f t="shared" si="38"/>
        <v>93631173</v>
      </c>
      <c r="AG80" s="3">
        <f t="shared" si="39"/>
        <v>93631168</v>
      </c>
      <c r="AH80" s="3">
        <f t="shared" si="40"/>
        <v>93631174</v>
      </c>
      <c r="AI80" s="3">
        <f t="shared" si="41"/>
        <v>93631169</v>
      </c>
      <c r="AJ80" s="3">
        <f t="shared" si="42"/>
        <v>909455916</v>
      </c>
      <c r="AK80" s="1">
        <f t="shared" si="28"/>
        <v>0</v>
      </c>
      <c r="AL80" s="1">
        <f t="shared" si="29"/>
        <v>20</v>
      </c>
      <c r="AM80" s="1">
        <f t="shared" si="30"/>
        <v>15</v>
      </c>
      <c r="AN80" s="1">
        <f t="shared" si="31"/>
        <v>21</v>
      </c>
      <c r="AO80" s="1">
        <f t="shared" si="32"/>
        <v>16</v>
      </c>
    </row>
    <row r="81" spans="1:41" x14ac:dyDescent="0.2">
      <c r="A81" s="16" t="s">
        <v>79</v>
      </c>
      <c r="B81" s="16">
        <v>2865</v>
      </c>
      <c r="C81" s="15" t="s">
        <v>2</v>
      </c>
      <c r="D81" s="15" t="s">
        <v>1</v>
      </c>
      <c r="E81" s="15" t="s">
        <v>92</v>
      </c>
      <c r="F81" s="15" t="s">
        <v>113</v>
      </c>
      <c r="G81" s="15"/>
      <c r="H81" s="17" t="str" cm="1">
        <f t="array" ref="H81">Reverse2_6(O81)</f>
        <v>00-010101</v>
      </c>
      <c r="I81" s="18" cm="1">
        <f t="array" ref="I81">HEX2DEC(Reverse(P81))</f>
        <v>93631153</v>
      </c>
      <c r="J81" s="18" cm="1">
        <f t="array" ref="J81">IF(Q81&lt;&gt;0, HEX2DEC(Reverse(Q81))-$I81,"")</f>
        <v>21</v>
      </c>
      <c r="K81" s="18" cm="1">
        <f t="array" ref="K81">IF(R81&lt;&gt;0, HEX2DEC(Reverse(R81))-$I81,"")</f>
        <v>15</v>
      </c>
      <c r="L81" s="18" cm="1">
        <f t="array" ref="L81">IF(S81&lt;&gt;0, HEX2DEC(Reverse(S81))-$I81,"")</f>
        <v>22</v>
      </c>
      <c r="M81" s="18" cm="1">
        <f t="array" ref="M81">IF(T81&lt;&gt;0, HEX2DEC(Reverse(T81))-$I81,"")</f>
        <v>16</v>
      </c>
      <c r="O81" s="3">
        <v>1010100</v>
      </c>
      <c r="P81" s="3" t="s">
        <v>114</v>
      </c>
      <c r="Q81" s="3" t="s">
        <v>153</v>
      </c>
      <c r="R81" s="3" t="s">
        <v>140</v>
      </c>
      <c r="S81" s="3" t="s">
        <v>154</v>
      </c>
      <c r="T81" s="3" t="s">
        <v>142</v>
      </c>
      <c r="U81" s="3" t="s">
        <v>155</v>
      </c>
      <c r="V81" s="4" t="s">
        <v>156</v>
      </c>
      <c r="Y81" s="3" t="str">
        <f>MID(P81,7,2)&amp;MID(P81,5,2)&amp;MID(P81,3,2)&amp;MID(P81,1,2)</f>
        <v>0594b2b1</v>
      </c>
      <c r="Z81" s="3" t="str">
        <f>MID(Q81,7,2)&amp;MID(Q81,5,2)&amp;MID(Q81,3,2)&amp;MID(Q81,1,2)</f>
        <v>0594b2c6</v>
      </c>
      <c r="AA81" s="3" t="str">
        <f t="shared" si="33"/>
        <v>0594b2c0</v>
      </c>
      <c r="AB81" s="3" t="str">
        <f t="shared" si="34"/>
        <v>0594b2c7</v>
      </c>
      <c r="AC81" s="3" t="str">
        <f t="shared" si="35"/>
        <v>0594b2c1</v>
      </c>
      <c r="AD81" s="3" t="str">
        <f t="shared" si="36"/>
        <v>d8e18b88</v>
      </c>
      <c r="AE81" s="3">
        <f t="shared" si="37"/>
        <v>93631153</v>
      </c>
      <c r="AF81" s="3">
        <f t="shared" si="38"/>
        <v>93631174</v>
      </c>
      <c r="AG81" s="3">
        <f t="shared" si="39"/>
        <v>93631168</v>
      </c>
      <c r="AH81" s="3">
        <f t="shared" si="40"/>
        <v>93631175</v>
      </c>
      <c r="AI81" s="3">
        <f t="shared" si="41"/>
        <v>93631169</v>
      </c>
      <c r="AJ81" s="3">
        <f t="shared" si="42"/>
        <v>3638659976</v>
      </c>
      <c r="AK81" s="1">
        <f t="shared" si="28"/>
        <v>0</v>
      </c>
      <c r="AL81" s="1">
        <f t="shared" si="29"/>
        <v>21</v>
      </c>
      <c r="AM81" s="1">
        <f t="shared" si="30"/>
        <v>15</v>
      </c>
      <c r="AN81" s="1">
        <f t="shared" si="31"/>
        <v>22</v>
      </c>
      <c r="AO81" s="1">
        <f t="shared" si="32"/>
        <v>16</v>
      </c>
    </row>
    <row r="82" spans="1:41" x14ac:dyDescent="0.2">
      <c r="A82" s="20" t="s">
        <v>80</v>
      </c>
      <c r="B82" s="20">
        <v>2866</v>
      </c>
      <c r="C82" s="21" t="s">
        <v>1</v>
      </c>
      <c r="D82" s="21" t="s">
        <v>2</v>
      </c>
      <c r="E82" s="21" t="s">
        <v>90</v>
      </c>
      <c r="F82" s="21" t="s">
        <v>94</v>
      </c>
      <c r="G82" s="21" t="s">
        <v>1778</v>
      </c>
      <c r="H82" s="22" t="str" cm="1">
        <f t="array" ref="H82">Reverse2_6(O82)</f>
        <v>00-010201</v>
      </c>
      <c r="I82" s="45" cm="1">
        <f t="array" ref="I82">HEX2DEC(Reverse(P82))</f>
        <v>93631153</v>
      </c>
      <c r="J82" s="45" cm="1">
        <f t="array" ref="J82">IF(Q82&lt;&gt;0, HEX2DEC(Reverse(Q82))-$I82,"")</f>
        <v>15</v>
      </c>
      <c r="K82" s="45" cm="1">
        <f t="array" ref="K82">IF(R82&lt;&gt;0, HEX2DEC(Reverse(R82))-$I82,"")</f>
        <v>19</v>
      </c>
      <c r="L82" s="45" t="str" cm="1">
        <f t="array" ref="L82">IF(S82&lt;&gt;0, HEX2DEC(Reverse(S82))-$I82,"")</f>
        <v/>
      </c>
      <c r="M82" s="45" cm="1">
        <f t="array" ref="M82">IF(T82&lt;&gt;0, HEX2DEC(Reverse(T82))-$I82,"")</f>
        <v>20</v>
      </c>
      <c r="O82" s="3">
        <v>1020100</v>
      </c>
      <c r="P82" s="3" t="s">
        <v>114</v>
      </c>
      <c r="Q82" s="3" t="s">
        <v>140</v>
      </c>
      <c r="R82" s="30" t="s">
        <v>150</v>
      </c>
      <c r="S82" s="3">
        <v>0</v>
      </c>
      <c r="T82" s="3" t="s">
        <v>152</v>
      </c>
      <c r="U82" s="3"/>
      <c r="V82" s="4"/>
      <c r="Y82" s="3" t="str">
        <f>MID(P82,7,2)&amp;MID(P82,5,2)&amp;MID(P82,3,2)&amp;MID(P82,1,2)</f>
        <v>0594b2b1</v>
      </c>
      <c r="Z82" s="3" t="str">
        <f>MID(Q82,7,2)&amp;MID(Q82,5,2)&amp;MID(Q82,3,2)&amp;MID(Q82,1,2)</f>
        <v>0594b2c0</v>
      </c>
      <c r="AA82" s="3" t="str">
        <f t="shared" si="33"/>
        <v>0594b2c4</v>
      </c>
      <c r="AB82" s="3" t="str">
        <f t="shared" si="34"/>
        <v>0</v>
      </c>
      <c r="AC82" s="3" t="str">
        <f t="shared" si="35"/>
        <v>0594b2c5</v>
      </c>
      <c r="AD82" s="3" t="str">
        <f t="shared" si="36"/>
        <v/>
      </c>
      <c r="AE82" s="3">
        <f t="shared" si="37"/>
        <v>93631153</v>
      </c>
      <c r="AF82" s="3">
        <f t="shared" si="38"/>
        <v>93631168</v>
      </c>
      <c r="AG82" s="3">
        <f t="shared" si="39"/>
        <v>93631172</v>
      </c>
      <c r="AH82" s="3">
        <f t="shared" si="40"/>
        <v>0</v>
      </c>
      <c r="AI82" s="3">
        <f t="shared" si="41"/>
        <v>93631173</v>
      </c>
      <c r="AJ82" s="3">
        <f t="shared" si="42"/>
        <v>0</v>
      </c>
      <c r="AK82" s="1">
        <f t="shared" si="28"/>
        <v>0</v>
      </c>
      <c r="AL82" s="1">
        <f t="shared" si="29"/>
        <v>15</v>
      </c>
      <c r="AM82" s="1">
        <f t="shared" si="30"/>
        <v>19</v>
      </c>
      <c r="AN82" s="1">
        <f t="shared" si="31"/>
        <v>-93631153</v>
      </c>
      <c r="AO82" s="1">
        <f t="shared" si="32"/>
        <v>20</v>
      </c>
    </row>
    <row r="83" spans="1:41" x14ac:dyDescent="0.2">
      <c r="A83" s="20" t="s">
        <v>81</v>
      </c>
      <c r="B83" s="20">
        <v>2867</v>
      </c>
      <c r="C83" s="21" t="s">
        <v>1</v>
      </c>
      <c r="D83" s="21" t="s">
        <v>2</v>
      </c>
      <c r="E83" s="21" t="s">
        <v>90</v>
      </c>
      <c r="F83" s="21" t="s">
        <v>94</v>
      </c>
      <c r="G83" s="21" t="s">
        <v>1778</v>
      </c>
      <c r="H83" s="22" t="str" cm="1">
        <f t="array" ref="H83">Reverse2_6(O83)</f>
        <v>00-010201</v>
      </c>
      <c r="I83" s="45" cm="1">
        <f t="array" ref="I83">HEX2DEC(Reverse(P83))</f>
        <v>93631153</v>
      </c>
      <c r="J83" s="45" cm="1">
        <f t="array" ref="J83">IF(Q83&lt;&gt;0, HEX2DEC(Reverse(Q83))-$I83,"")</f>
        <v>15</v>
      </c>
      <c r="K83" s="45" cm="1">
        <f t="array" ref="K83">IF(R83&lt;&gt;0, HEX2DEC(Reverse(R83))-$I83,"")</f>
        <v>20</v>
      </c>
      <c r="L83" s="45" t="str" cm="1">
        <f t="array" ref="L83">IF(S83&lt;&gt;0, HEX2DEC(Reverse(S83))-$I83,"")</f>
        <v/>
      </c>
      <c r="M83" s="45" cm="1">
        <f t="array" ref="M83">IF(T83&lt;&gt;0, HEX2DEC(Reverse(T83))-$I83,"")</f>
        <v>21</v>
      </c>
      <c r="O83" s="3">
        <v>1020100</v>
      </c>
      <c r="P83" s="3" t="s">
        <v>114</v>
      </c>
      <c r="Q83" s="3" t="s">
        <v>140</v>
      </c>
      <c r="R83" s="3" t="s">
        <v>152</v>
      </c>
      <c r="S83" s="3">
        <v>0</v>
      </c>
      <c r="T83" s="3" t="s">
        <v>153</v>
      </c>
      <c r="U83" s="3"/>
      <c r="V83" s="4"/>
      <c r="Y83" s="3" t="str">
        <f>MID(P83,7,2)&amp;MID(P83,5,2)&amp;MID(P83,3,2)&amp;MID(P83,1,2)</f>
        <v>0594b2b1</v>
      </c>
      <c r="Z83" s="3" t="str">
        <f>MID(Q83,7,2)&amp;MID(Q83,5,2)&amp;MID(Q83,3,2)&amp;MID(Q83,1,2)</f>
        <v>0594b2c0</v>
      </c>
      <c r="AA83" s="3" t="str">
        <f t="shared" si="33"/>
        <v>0594b2c5</v>
      </c>
      <c r="AB83" s="3" t="str">
        <f t="shared" si="34"/>
        <v>0</v>
      </c>
      <c r="AC83" s="3" t="str">
        <f t="shared" si="35"/>
        <v>0594b2c6</v>
      </c>
      <c r="AD83" s="3" t="str">
        <f t="shared" si="36"/>
        <v/>
      </c>
      <c r="AE83" s="3">
        <f t="shared" si="37"/>
        <v>93631153</v>
      </c>
      <c r="AF83" s="3">
        <f t="shared" si="38"/>
        <v>93631168</v>
      </c>
      <c r="AG83" s="3">
        <f t="shared" si="39"/>
        <v>93631173</v>
      </c>
      <c r="AH83" s="3">
        <f t="shared" si="40"/>
        <v>0</v>
      </c>
      <c r="AI83" s="3">
        <f t="shared" si="41"/>
        <v>93631174</v>
      </c>
      <c r="AJ83" s="3">
        <f t="shared" si="42"/>
        <v>0</v>
      </c>
      <c r="AK83" s="1">
        <f t="shared" si="28"/>
        <v>0</v>
      </c>
      <c r="AL83" s="1">
        <f t="shared" si="29"/>
        <v>15</v>
      </c>
      <c r="AM83" s="1">
        <f t="shared" si="30"/>
        <v>20</v>
      </c>
      <c r="AN83" s="1">
        <f t="shared" si="31"/>
        <v>-93631153</v>
      </c>
      <c r="AO83" s="1">
        <f t="shared" si="32"/>
        <v>21</v>
      </c>
    </row>
    <row r="84" spans="1:41" x14ac:dyDescent="0.2">
      <c r="A84" s="20" t="s">
        <v>82</v>
      </c>
      <c r="B84" s="20">
        <v>2868</v>
      </c>
      <c r="C84" s="21" t="s">
        <v>1</v>
      </c>
      <c r="D84" s="21" t="s">
        <v>2</v>
      </c>
      <c r="E84" s="21" t="s">
        <v>90</v>
      </c>
      <c r="F84" s="21" t="s">
        <v>94</v>
      </c>
      <c r="G84" s="21" t="s">
        <v>1778</v>
      </c>
      <c r="H84" s="22" t="str" cm="1">
        <f t="array" ref="H84">Reverse2_6(O84)</f>
        <v>00-010201</v>
      </c>
      <c r="I84" s="45" cm="1">
        <f t="array" ref="I84">HEX2DEC(Reverse(P84))</f>
        <v>93631153</v>
      </c>
      <c r="J84" s="45" cm="1">
        <f t="array" ref="J84">IF(Q84&lt;&gt;0, HEX2DEC(Reverse(Q84))-$I84,"")</f>
        <v>15</v>
      </c>
      <c r="K84" s="45" cm="1">
        <f t="array" ref="K84">IF(R84&lt;&gt;0, HEX2DEC(Reverse(R84))-$I84,"")</f>
        <v>21</v>
      </c>
      <c r="L84" s="45" t="str" cm="1">
        <f t="array" ref="L84">IF(S84&lt;&gt;0, HEX2DEC(Reverse(S84))-$I84,"")</f>
        <v/>
      </c>
      <c r="M84" s="45" cm="1">
        <f t="array" ref="M84">IF(T84&lt;&gt;0, HEX2DEC(Reverse(T84))-$I84,"")</f>
        <v>22</v>
      </c>
      <c r="O84" s="3">
        <v>1020100</v>
      </c>
      <c r="P84" s="3" t="s">
        <v>114</v>
      </c>
      <c r="Q84" s="3" t="s">
        <v>140</v>
      </c>
      <c r="R84" s="13" t="s">
        <v>153</v>
      </c>
      <c r="S84" s="3">
        <v>0</v>
      </c>
      <c r="T84" s="3" t="s">
        <v>154</v>
      </c>
      <c r="U84" s="3"/>
      <c r="V84" s="4"/>
      <c r="Y84" s="3" t="str">
        <f>MID(P84,7,2)&amp;MID(P84,5,2)&amp;MID(P84,3,2)&amp;MID(P84,1,2)</f>
        <v>0594b2b1</v>
      </c>
      <c r="Z84" s="3" t="str">
        <f>MID(Q84,7,2)&amp;MID(Q84,5,2)&amp;MID(Q84,3,2)&amp;MID(Q84,1,2)</f>
        <v>0594b2c0</v>
      </c>
      <c r="AA84" s="3" t="str">
        <f t="shared" si="33"/>
        <v>0594b2c6</v>
      </c>
      <c r="AB84" s="3" t="str">
        <f t="shared" si="34"/>
        <v>0</v>
      </c>
      <c r="AC84" s="3" t="str">
        <f t="shared" si="35"/>
        <v>0594b2c7</v>
      </c>
      <c r="AD84" s="3" t="str">
        <f t="shared" si="36"/>
        <v/>
      </c>
      <c r="AE84" s="3">
        <f t="shared" si="37"/>
        <v>93631153</v>
      </c>
      <c r="AF84" s="3">
        <f t="shared" si="38"/>
        <v>93631168</v>
      </c>
      <c r="AG84" s="3">
        <f t="shared" si="39"/>
        <v>93631174</v>
      </c>
      <c r="AH84" s="3">
        <f t="shared" si="40"/>
        <v>0</v>
      </c>
      <c r="AI84" s="3">
        <f t="shared" si="41"/>
        <v>93631175</v>
      </c>
      <c r="AJ84" s="3">
        <f t="shared" si="42"/>
        <v>0</v>
      </c>
      <c r="AK84" s="1">
        <f t="shared" si="28"/>
        <v>0</v>
      </c>
      <c r="AL84" s="1">
        <f t="shared" si="29"/>
        <v>15</v>
      </c>
      <c r="AM84" s="1">
        <f t="shared" si="30"/>
        <v>21</v>
      </c>
      <c r="AN84" s="1">
        <f t="shared" si="31"/>
        <v>-93631153</v>
      </c>
      <c r="AO84" s="1">
        <f t="shared" si="32"/>
        <v>22</v>
      </c>
    </row>
    <row r="85" spans="1:41" ht="409.6" x14ac:dyDescent="0.2">
      <c r="A85" s="46" t="s">
        <v>173</v>
      </c>
      <c r="B85" s="46">
        <v>2873</v>
      </c>
      <c r="C85" s="36" t="s">
        <v>1</v>
      </c>
      <c r="D85" s="36" t="s">
        <v>2</v>
      </c>
      <c r="E85" s="36" t="s">
        <v>90</v>
      </c>
      <c r="F85" s="36" t="s">
        <v>110</v>
      </c>
      <c r="G85" s="36" t="s">
        <v>1776</v>
      </c>
      <c r="H85" s="35" t="str" cm="1">
        <f t="array" ref="H85">Reverse2_6(O85)</f>
        <v>00-010101</v>
      </c>
      <c r="I85" s="44" cm="1">
        <f t="array" ref="I85">HEX2DEC(Reverse(P85))</f>
        <v>93631153</v>
      </c>
      <c r="J85" s="44" cm="1">
        <f t="array" ref="J85">IF(Q85&lt;&gt;0, HEX2DEC(Reverse(Q85))-$I85,"")</f>
        <v>16</v>
      </c>
      <c r="K85" s="44" cm="1">
        <f t="array" ref="K85">IF(R85&lt;&gt;0, HEX2DEC(Reverse(R85))-$I85,"")</f>
        <v>21</v>
      </c>
      <c r="L85" s="44" cm="1">
        <f t="array" ref="L85">IF(S85&lt;&gt;0, HEX2DEC(Reverse(S85))-$I85,"")</f>
        <v>17</v>
      </c>
      <c r="M85" s="44" cm="1">
        <f t="array" ref="M85">IF(T85&lt;&gt;0, HEX2DEC(Reverse(T85))-$I85,"")</f>
        <v>22</v>
      </c>
      <c r="O85" s="3">
        <v>1010100</v>
      </c>
      <c r="P85" s="3" t="s">
        <v>114</v>
      </c>
      <c r="Q85" s="3" t="s">
        <v>142</v>
      </c>
      <c r="R85" s="13" t="s">
        <v>153</v>
      </c>
      <c r="S85" s="19" t="s">
        <v>146</v>
      </c>
      <c r="T85" s="3" t="s">
        <v>154</v>
      </c>
      <c r="U85" s="3">
        <v>31313131</v>
      </c>
      <c r="V85" s="4" t="s">
        <v>1759</v>
      </c>
    </row>
    <row r="86" spans="1:41" ht="409.6" x14ac:dyDescent="0.2">
      <c r="A86" s="46" t="s">
        <v>174</v>
      </c>
      <c r="B86" s="46">
        <v>2874</v>
      </c>
      <c r="C86" s="36" t="s">
        <v>1</v>
      </c>
      <c r="D86" s="36" t="s">
        <v>2</v>
      </c>
      <c r="E86" s="36" t="s">
        <v>90</v>
      </c>
      <c r="F86" s="36" t="s">
        <v>106</v>
      </c>
      <c r="G86" s="36" t="s">
        <v>1754</v>
      </c>
      <c r="H86" s="35" t="str" cm="1">
        <f t="array" ref="H86">Reverse2_6(O86)</f>
        <v>00-010101</v>
      </c>
      <c r="I86" s="44" cm="1">
        <f t="array" ref="I86">HEX2DEC(Reverse(P86))</f>
        <v>93631153</v>
      </c>
      <c r="J86" s="44" cm="1">
        <f t="array" ref="J86">IF(Q86&lt;&gt;0, HEX2DEC(Reverse(Q86))-$I86,"")</f>
        <v>17</v>
      </c>
      <c r="K86" s="44" cm="1">
        <f t="array" ref="K86">IF(R86&lt;&gt;0, HEX2DEC(Reverse(R86))-$I86,"")</f>
        <v>21</v>
      </c>
      <c r="L86" s="44" cm="1">
        <f t="array" ref="L86">IF(S86&lt;&gt;0, HEX2DEC(Reverse(S86))-$I86,"")</f>
        <v>18</v>
      </c>
      <c r="M86" s="44" cm="1">
        <f t="array" ref="M86">IF(T86&lt;&gt;0, HEX2DEC(Reverse(T86))-$I86,"")</f>
        <v>22</v>
      </c>
      <c r="O86" s="3">
        <v>1010100</v>
      </c>
      <c r="P86" s="3" t="s">
        <v>114</v>
      </c>
      <c r="Q86" s="3" t="s">
        <v>146</v>
      </c>
      <c r="R86" s="13" t="s">
        <v>153</v>
      </c>
      <c r="S86" s="3" t="s">
        <v>148</v>
      </c>
      <c r="T86" s="3" t="s">
        <v>154</v>
      </c>
      <c r="U86" s="3">
        <v>31313131</v>
      </c>
      <c r="V86" s="4" t="s">
        <v>1760</v>
      </c>
    </row>
    <row r="87" spans="1:41" x14ac:dyDescent="0.2">
      <c r="A87" s="24" t="s">
        <v>175</v>
      </c>
      <c r="B87" s="24">
        <v>2892</v>
      </c>
      <c r="C87" s="25" t="s">
        <v>2</v>
      </c>
      <c r="D87" s="25" t="s">
        <v>1</v>
      </c>
      <c r="E87" s="25" t="s">
        <v>92</v>
      </c>
      <c r="F87" s="25" t="s">
        <v>94</v>
      </c>
      <c r="G87" s="25" t="s">
        <v>1777</v>
      </c>
      <c r="H87" s="26" t="str" cm="1">
        <f t="array" ref="H87">Reverse2_6(O87)</f>
        <v>00-010201</v>
      </c>
      <c r="I87" s="43" cm="1">
        <f t="array" ref="I87">HEX2DEC(Reverse(P87))</f>
        <v>93631153</v>
      </c>
      <c r="J87" s="43" cm="1">
        <f t="array" ref="J87">IF(Q87&lt;&gt;0, HEX2DEC(Reverse(Q87))-$I87,"")</f>
        <v>21</v>
      </c>
      <c r="K87" s="43" cm="1">
        <f t="array" ref="K87">IF(R87&lt;&gt;0, HEX2DEC(Reverse(R87))-$I87,"")</f>
        <v>16</v>
      </c>
      <c r="L87" s="43" t="str" cm="1">
        <f t="array" ref="L87">IF(S87&lt;&gt;0, HEX2DEC(Reverse(S87))-$I87,"")</f>
        <v/>
      </c>
      <c r="M87" s="43" cm="1">
        <f t="array" ref="M87">IF(T87&lt;&gt;0, HEX2DEC(Reverse(T87))-$I87,"")</f>
        <v>17</v>
      </c>
      <c r="O87" s="26">
        <v>1020100</v>
      </c>
      <c r="P87" s="26" t="s">
        <v>114</v>
      </c>
      <c r="Q87" s="26" t="s">
        <v>153</v>
      </c>
      <c r="R87" s="3" t="s">
        <v>142</v>
      </c>
      <c r="S87" s="26">
        <v>0</v>
      </c>
      <c r="T87" s="26" t="s">
        <v>146</v>
      </c>
      <c r="U87" s="3"/>
      <c r="V87" s="4"/>
    </row>
    <row r="88" spans="1:41" x14ac:dyDescent="0.2">
      <c r="A88" s="24" t="s">
        <v>176</v>
      </c>
      <c r="B88" s="24">
        <v>2893</v>
      </c>
      <c r="C88" s="25" t="s">
        <v>2</v>
      </c>
      <c r="D88" s="25" t="s">
        <v>1</v>
      </c>
      <c r="E88" s="25" t="s">
        <v>92</v>
      </c>
      <c r="F88" s="25" t="s">
        <v>94</v>
      </c>
      <c r="G88" s="25" t="s">
        <v>1777</v>
      </c>
      <c r="H88" s="26" t="str" cm="1">
        <f t="array" ref="H88">Reverse2_6(O88)</f>
        <v>00-010201</v>
      </c>
      <c r="I88" s="43" cm="1">
        <f t="array" ref="I88">HEX2DEC(Reverse(P88))</f>
        <v>93631153</v>
      </c>
      <c r="J88" s="43" cm="1">
        <f t="array" ref="J88">IF(Q88&lt;&gt;0, HEX2DEC(Reverse(Q88))-$I88,"")</f>
        <v>21</v>
      </c>
      <c r="K88" s="43" cm="1">
        <f t="array" ref="K88">IF(R88&lt;&gt;0, HEX2DEC(Reverse(R88))-$I88,"")</f>
        <v>17</v>
      </c>
      <c r="L88" s="43" t="str" cm="1">
        <f t="array" ref="L88">IF(S88&lt;&gt;0, HEX2DEC(Reverse(S88))-$I88,"")</f>
        <v/>
      </c>
      <c r="M88" s="43" cm="1">
        <f t="array" ref="M88">IF(T88&lt;&gt;0, HEX2DEC(Reverse(T88))-$I88,"")</f>
        <v>18</v>
      </c>
      <c r="O88" s="26">
        <v>1020100</v>
      </c>
      <c r="P88" s="26" t="s">
        <v>114</v>
      </c>
      <c r="Q88" s="26" t="s">
        <v>153</v>
      </c>
      <c r="R88" s="19" t="s">
        <v>146</v>
      </c>
      <c r="S88" s="26">
        <v>0</v>
      </c>
      <c r="T88" s="26" t="s">
        <v>148</v>
      </c>
      <c r="U88" s="3"/>
      <c r="V88" s="4"/>
    </row>
    <row r="89" spans="1:41" x14ac:dyDescent="0.2">
      <c r="A89" s="16" t="s">
        <v>177</v>
      </c>
      <c r="B89" s="16">
        <v>2900</v>
      </c>
      <c r="C89" s="15" t="s">
        <v>2</v>
      </c>
      <c r="D89" s="15" t="s">
        <v>1</v>
      </c>
      <c r="E89" s="15" t="s">
        <v>92</v>
      </c>
      <c r="F89" s="15" t="s">
        <v>96</v>
      </c>
      <c r="G89" s="15"/>
      <c r="H89" s="17" t="str" cm="1">
        <f t="array" ref="H89">Reverse2_6(O89)</f>
        <v>00-010101</v>
      </c>
      <c r="I89" s="18" cm="1">
        <f t="array" ref="I89">HEX2DEC(Reverse(P89))</f>
        <v>93631153</v>
      </c>
      <c r="J89" s="18" cm="1">
        <f t="array" ref="J89">IF(Q89&lt;&gt;0, HEX2DEC(Reverse(Q89))-$I89,"")</f>
        <v>22</v>
      </c>
      <c r="K89" s="18" cm="1">
        <f t="array" ref="K89">IF(R89&lt;&gt;0, HEX2DEC(Reverse(R89))-$I89,"")</f>
        <v>17</v>
      </c>
      <c r="L89" s="18" cm="1">
        <f t="array" ref="L89">IF(S89&lt;&gt;0, HEX2DEC(Reverse(S89))-$I89,"")</f>
        <v>23</v>
      </c>
      <c r="M89" s="18" cm="1">
        <f t="array" ref="M89">IF(T89&lt;&gt;0, HEX2DEC(Reverse(T89))-$I89,"")</f>
        <v>18</v>
      </c>
      <c r="O89" s="3">
        <v>1010100</v>
      </c>
      <c r="P89" s="3" t="s">
        <v>114</v>
      </c>
      <c r="Q89" s="3" t="s">
        <v>154</v>
      </c>
      <c r="R89" s="19" t="s">
        <v>146</v>
      </c>
      <c r="S89" s="3" t="s">
        <v>903</v>
      </c>
      <c r="T89" s="3" t="s">
        <v>148</v>
      </c>
      <c r="U89" s="3">
        <v>31313131</v>
      </c>
      <c r="V89" s="4" t="s">
        <v>904</v>
      </c>
    </row>
    <row r="90" spans="1:41" x14ac:dyDescent="0.2">
      <c r="A90" s="16" t="s">
        <v>178</v>
      </c>
      <c r="B90" s="16">
        <v>2901</v>
      </c>
      <c r="C90" s="15" t="s">
        <v>2</v>
      </c>
      <c r="D90" s="15" t="s">
        <v>1</v>
      </c>
      <c r="E90" s="15" t="s">
        <v>92</v>
      </c>
      <c r="F90" s="15" t="s">
        <v>96</v>
      </c>
      <c r="G90" s="15"/>
      <c r="H90" s="17" t="str" cm="1">
        <f t="array" ref="H90">Reverse2_6(O90)</f>
        <v>00-010101</v>
      </c>
      <c r="I90" s="18" cm="1">
        <f t="array" ref="I90">HEX2DEC(Reverse(P90))</f>
        <v>93631153</v>
      </c>
      <c r="J90" s="18" cm="1">
        <f t="array" ref="J90">IF(Q90&lt;&gt;0, HEX2DEC(Reverse(Q90))-$I90,"")</f>
        <v>23</v>
      </c>
      <c r="K90" s="18" cm="1">
        <f t="array" ref="K90">IF(R90&lt;&gt;0, HEX2DEC(Reverse(R90))-$I90,"")</f>
        <v>17</v>
      </c>
      <c r="L90" s="18" cm="1">
        <f t="array" ref="L90">IF(S90&lt;&gt;0, HEX2DEC(Reverse(S90))-$I90,"")</f>
        <v>24</v>
      </c>
      <c r="M90" s="18" cm="1">
        <f t="array" ref="M90">IF(T90&lt;&gt;0, HEX2DEC(Reverse(T90))-$I90,"")</f>
        <v>18</v>
      </c>
      <c r="O90" s="3">
        <v>1010100</v>
      </c>
      <c r="P90" s="3" t="s">
        <v>114</v>
      </c>
      <c r="Q90" s="3" t="s">
        <v>903</v>
      </c>
      <c r="R90" s="19" t="s">
        <v>146</v>
      </c>
      <c r="S90" s="3" t="s">
        <v>905</v>
      </c>
      <c r="T90" s="3" t="s">
        <v>148</v>
      </c>
      <c r="U90" s="3" t="s">
        <v>906</v>
      </c>
      <c r="V90" s="4" t="s">
        <v>907</v>
      </c>
    </row>
    <row r="91" spans="1:41" x14ac:dyDescent="0.2">
      <c r="A91" s="16" t="s">
        <v>179</v>
      </c>
      <c r="B91" s="16">
        <v>2902</v>
      </c>
      <c r="C91" s="15" t="s">
        <v>2</v>
      </c>
      <c r="D91" s="15" t="s">
        <v>1</v>
      </c>
      <c r="E91" s="15" t="s">
        <v>92</v>
      </c>
      <c r="F91" s="15" t="s">
        <v>96</v>
      </c>
      <c r="G91" s="15"/>
      <c r="H91" s="17" t="str" cm="1">
        <f t="array" ref="H91">Reverse2_6(O91)</f>
        <v>00-010101</v>
      </c>
      <c r="I91" s="18" cm="1">
        <f t="array" ref="I91">HEX2DEC(Reverse(P91))</f>
        <v>93631153</v>
      </c>
      <c r="J91" s="18" cm="1">
        <f t="array" ref="J91">IF(Q91&lt;&gt;0, HEX2DEC(Reverse(Q91))-$I91,"")</f>
        <v>24</v>
      </c>
      <c r="K91" s="18" cm="1">
        <f t="array" ref="K91">IF(R91&lt;&gt;0, HEX2DEC(Reverse(R91))-$I91,"")</f>
        <v>17</v>
      </c>
      <c r="L91" s="18" cm="1">
        <f t="array" ref="L91">IF(S91&lt;&gt;0, HEX2DEC(Reverse(S91))-$I91,"")</f>
        <v>25</v>
      </c>
      <c r="M91" s="18" cm="1">
        <f t="array" ref="M91">IF(T91&lt;&gt;0, HEX2DEC(Reverse(T91))-$I91,"")</f>
        <v>18</v>
      </c>
      <c r="O91" s="3">
        <v>1010100</v>
      </c>
      <c r="P91" s="3" t="s">
        <v>114</v>
      </c>
      <c r="Q91" s="3" t="s">
        <v>905</v>
      </c>
      <c r="R91" s="19" t="s">
        <v>146</v>
      </c>
      <c r="S91" s="3" t="s">
        <v>908</v>
      </c>
      <c r="T91" s="3" t="s">
        <v>148</v>
      </c>
      <c r="U91" s="3" t="s">
        <v>909</v>
      </c>
      <c r="V91" s="4" t="s">
        <v>910</v>
      </c>
    </row>
    <row r="92" spans="1:41" x14ac:dyDescent="0.2">
      <c r="A92" s="16" t="s">
        <v>180</v>
      </c>
      <c r="B92" s="16">
        <v>2903</v>
      </c>
      <c r="C92" s="15" t="s">
        <v>2</v>
      </c>
      <c r="D92" s="15" t="s">
        <v>1</v>
      </c>
      <c r="E92" s="15" t="s">
        <v>92</v>
      </c>
      <c r="F92" s="15" t="s">
        <v>96</v>
      </c>
      <c r="G92" s="15"/>
      <c r="H92" s="17" t="str" cm="1">
        <f t="array" ref="H92">Reverse2_6(O92)</f>
        <v>00-010101</v>
      </c>
      <c r="I92" s="18" cm="1">
        <f t="array" ref="I92">HEX2DEC(Reverse(P92))</f>
        <v>93631153</v>
      </c>
      <c r="J92" s="18" cm="1">
        <f t="array" ref="J92">IF(Q92&lt;&gt;0, HEX2DEC(Reverse(Q92))-$I92,"")</f>
        <v>25</v>
      </c>
      <c r="K92" s="18" cm="1">
        <f t="array" ref="K92">IF(R92&lt;&gt;0, HEX2DEC(Reverse(R92))-$I92,"")</f>
        <v>17</v>
      </c>
      <c r="L92" s="18" cm="1">
        <f t="array" ref="L92">IF(S92&lt;&gt;0, HEX2DEC(Reverse(S92))-$I92,"")</f>
        <v>26</v>
      </c>
      <c r="M92" s="18" cm="1">
        <f t="array" ref="M92">IF(T92&lt;&gt;0, HEX2DEC(Reverse(T92))-$I92,"")</f>
        <v>18</v>
      </c>
      <c r="O92" s="3">
        <v>1010100</v>
      </c>
      <c r="P92" s="3" t="s">
        <v>114</v>
      </c>
      <c r="Q92" s="3" t="s">
        <v>908</v>
      </c>
      <c r="R92" s="19" t="s">
        <v>146</v>
      </c>
      <c r="S92" s="3" t="s">
        <v>911</v>
      </c>
      <c r="T92" s="3" t="s">
        <v>148</v>
      </c>
      <c r="U92" s="3">
        <v>8569520000</v>
      </c>
      <c r="V92" s="4" t="s">
        <v>912</v>
      </c>
    </row>
    <row r="93" spans="1:41" x14ac:dyDescent="0.2">
      <c r="A93" s="20" t="s">
        <v>181</v>
      </c>
      <c r="B93" s="20">
        <v>2904</v>
      </c>
      <c r="C93" s="21" t="s">
        <v>1</v>
      </c>
      <c r="D93" s="21" t="s">
        <v>2</v>
      </c>
      <c r="E93" s="21" t="s">
        <v>90</v>
      </c>
      <c r="F93" s="21" t="s">
        <v>94</v>
      </c>
      <c r="G93" s="21" t="s">
        <v>1778</v>
      </c>
      <c r="H93" s="22" t="str" cm="1">
        <f t="array" ref="H93">Reverse2_6(O93)</f>
        <v>00-010201</v>
      </c>
      <c r="I93" s="45" cm="1">
        <f t="array" ref="I93">HEX2DEC(Reverse(P93))</f>
        <v>93631153</v>
      </c>
      <c r="J93" s="45" cm="1">
        <f t="array" ref="J93">IF(Q93&lt;&gt;0, HEX2DEC(Reverse(Q93))-$I93,"")</f>
        <v>17</v>
      </c>
      <c r="K93" s="45" cm="1">
        <f t="array" ref="K93">IF(R93&lt;&gt;0, HEX2DEC(Reverse(R93))-$I93,"")</f>
        <v>22</v>
      </c>
      <c r="L93" s="45" t="str" cm="1">
        <f t="array" ref="L93">IF(S93&lt;&gt;0, HEX2DEC(Reverse(S93))-$I93,"")</f>
        <v/>
      </c>
      <c r="M93" s="45" cm="1">
        <f t="array" ref="M93">IF(T93&lt;&gt;0, HEX2DEC(Reverse(T93))-$I93,"")</f>
        <v>23</v>
      </c>
      <c r="O93" s="3">
        <v>1020100</v>
      </c>
      <c r="P93" s="3" t="s">
        <v>114</v>
      </c>
      <c r="Q93" s="3" t="s">
        <v>146</v>
      </c>
      <c r="R93" s="3" t="s">
        <v>154</v>
      </c>
      <c r="S93" s="3">
        <v>0</v>
      </c>
      <c r="T93" s="3" t="s">
        <v>903</v>
      </c>
      <c r="U93" s="3"/>
      <c r="V93" s="4"/>
    </row>
    <row r="94" spans="1:41" x14ac:dyDescent="0.2">
      <c r="A94" s="20" t="s">
        <v>182</v>
      </c>
      <c r="B94" s="20">
        <v>2905</v>
      </c>
      <c r="C94" s="21" t="s">
        <v>1</v>
      </c>
      <c r="D94" s="21" t="s">
        <v>2</v>
      </c>
      <c r="E94" s="21" t="s">
        <v>90</v>
      </c>
      <c r="F94" s="21" t="s">
        <v>94</v>
      </c>
      <c r="G94" s="21" t="s">
        <v>1778</v>
      </c>
      <c r="H94" s="22" t="str" cm="1">
        <f t="array" ref="H94">Reverse2_6(O94)</f>
        <v>00-010201</v>
      </c>
      <c r="I94" s="45" cm="1">
        <f t="array" ref="I94">HEX2DEC(Reverse(P94))</f>
        <v>93631153</v>
      </c>
      <c r="J94" s="45" cm="1">
        <f t="array" ref="J94">IF(Q94&lt;&gt;0, HEX2DEC(Reverse(Q94))-$I94,"")</f>
        <v>17</v>
      </c>
      <c r="K94" s="45" cm="1">
        <f t="array" ref="K94">IF(R94&lt;&gt;0, HEX2DEC(Reverse(R94))-$I94,"")</f>
        <v>23</v>
      </c>
      <c r="L94" s="45" t="str" cm="1">
        <f t="array" ref="L94">IF(S94&lt;&gt;0, HEX2DEC(Reverse(S94))-$I94,"")</f>
        <v/>
      </c>
      <c r="M94" s="45" cm="1">
        <f t="array" ref="M94">IF(T94&lt;&gt;0, HEX2DEC(Reverse(T94))-$I94,"")</f>
        <v>24</v>
      </c>
      <c r="O94" s="3">
        <v>1020100</v>
      </c>
      <c r="P94" s="3" t="s">
        <v>114</v>
      </c>
      <c r="Q94" s="3" t="s">
        <v>146</v>
      </c>
      <c r="R94" s="31" t="s">
        <v>903</v>
      </c>
      <c r="S94" s="3">
        <v>0</v>
      </c>
      <c r="T94" s="3" t="s">
        <v>905</v>
      </c>
      <c r="U94" s="3"/>
      <c r="V94" s="4"/>
    </row>
    <row r="95" spans="1:41" x14ac:dyDescent="0.2">
      <c r="A95" s="20" t="s">
        <v>183</v>
      </c>
      <c r="B95" s="20">
        <v>2906</v>
      </c>
      <c r="C95" s="21" t="s">
        <v>1</v>
      </c>
      <c r="D95" s="21" t="s">
        <v>2</v>
      </c>
      <c r="E95" s="21" t="s">
        <v>90</v>
      </c>
      <c r="F95" s="21" t="s">
        <v>94</v>
      </c>
      <c r="G95" s="21" t="s">
        <v>1778</v>
      </c>
      <c r="H95" s="22" t="str" cm="1">
        <f t="array" ref="H95">Reverse2_6(O95)</f>
        <v>00-010201</v>
      </c>
      <c r="I95" s="45" cm="1">
        <f t="array" ref="I95">HEX2DEC(Reverse(P95))</f>
        <v>93631153</v>
      </c>
      <c r="J95" s="45" cm="1">
        <f t="array" ref="J95">IF(Q95&lt;&gt;0, HEX2DEC(Reverse(Q95))-$I95,"")</f>
        <v>17</v>
      </c>
      <c r="K95" s="45" cm="1">
        <f t="array" ref="K95">IF(R95&lt;&gt;0, HEX2DEC(Reverse(R95))-$I95,"")</f>
        <v>24</v>
      </c>
      <c r="L95" s="45" t="str" cm="1">
        <f t="array" ref="L95">IF(S95&lt;&gt;0, HEX2DEC(Reverse(S95))-$I95,"")</f>
        <v/>
      </c>
      <c r="M95" s="45" cm="1">
        <f t="array" ref="M95">IF(T95&lt;&gt;0, HEX2DEC(Reverse(T95))-$I95,"")</f>
        <v>25</v>
      </c>
      <c r="O95" s="3">
        <v>1020100</v>
      </c>
      <c r="P95" s="3" t="s">
        <v>114</v>
      </c>
      <c r="Q95" s="3" t="s">
        <v>146</v>
      </c>
      <c r="R95" s="3" t="s">
        <v>905</v>
      </c>
      <c r="S95" s="3">
        <v>0</v>
      </c>
      <c r="T95" s="3" t="s">
        <v>908</v>
      </c>
      <c r="U95" s="3"/>
      <c r="V95" s="4"/>
    </row>
    <row r="96" spans="1:41" x14ac:dyDescent="0.2">
      <c r="A96" s="20" t="s">
        <v>184</v>
      </c>
      <c r="B96" s="20">
        <v>2907</v>
      </c>
      <c r="C96" s="21" t="s">
        <v>1</v>
      </c>
      <c r="D96" s="21" t="s">
        <v>2</v>
      </c>
      <c r="E96" s="21" t="s">
        <v>90</v>
      </c>
      <c r="F96" s="21" t="s">
        <v>94</v>
      </c>
      <c r="G96" s="21" t="s">
        <v>1778</v>
      </c>
      <c r="H96" s="22" t="str" cm="1">
        <f t="array" ref="H96">Reverse2_6(O96)</f>
        <v>00-010201</v>
      </c>
      <c r="I96" s="45" cm="1">
        <f t="array" ref="I96">HEX2DEC(Reverse(P96))</f>
        <v>93631153</v>
      </c>
      <c r="J96" s="45" cm="1">
        <f t="array" ref="J96">IF(Q96&lt;&gt;0, HEX2DEC(Reverse(Q96))-$I96,"")</f>
        <v>17</v>
      </c>
      <c r="K96" s="45" cm="1">
        <f t="array" ref="K96">IF(R96&lt;&gt;0, HEX2DEC(Reverse(R96))-$I96,"")</f>
        <v>25</v>
      </c>
      <c r="L96" s="45" t="str" cm="1">
        <f t="array" ref="L96">IF(S96&lt;&gt;0, HEX2DEC(Reverse(S96))-$I96,"")</f>
        <v/>
      </c>
      <c r="M96" s="45" cm="1">
        <f t="array" ref="M96">IF(T96&lt;&gt;0, HEX2DEC(Reverse(T96))-$I96,"")</f>
        <v>26</v>
      </c>
      <c r="O96" s="3">
        <v>1020100</v>
      </c>
      <c r="P96" s="3" t="s">
        <v>114</v>
      </c>
      <c r="Q96" s="3" t="s">
        <v>146</v>
      </c>
      <c r="R96" s="3" t="s">
        <v>908</v>
      </c>
      <c r="S96" s="3">
        <v>0</v>
      </c>
      <c r="T96" s="3" t="s">
        <v>911</v>
      </c>
      <c r="U96" s="3"/>
      <c r="V96" s="4"/>
    </row>
    <row r="97" spans="1:22" x14ac:dyDescent="0.2">
      <c r="A97" s="16" t="s">
        <v>185</v>
      </c>
      <c r="B97" s="16">
        <v>2908</v>
      </c>
      <c r="C97" s="15" t="s">
        <v>2</v>
      </c>
      <c r="D97" s="15" t="s">
        <v>1</v>
      </c>
      <c r="E97" s="15" t="s">
        <v>92</v>
      </c>
      <c r="F97" s="15" t="s">
        <v>96</v>
      </c>
      <c r="G97" s="15"/>
      <c r="H97" s="17" t="str" cm="1">
        <f t="array" ref="H97">Reverse2_6(O97)</f>
        <v>00-010101</v>
      </c>
      <c r="I97" s="18" cm="1">
        <f t="array" ref="I97">HEX2DEC(Reverse(P97))</f>
        <v>93631153</v>
      </c>
      <c r="J97" s="18" cm="1">
        <f t="array" ref="J97">IF(Q97&lt;&gt;0, HEX2DEC(Reverse(Q97))-$I97,"")</f>
        <v>26</v>
      </c>
      <c r="K97" s="18" cm="1">
        <f t="array" ref="K97">IF(R97&lt;&gt;0, HEX2DEC(Reverse(R97))-$I97,"")</f>
        <v>17</v>
      </c>
      <c r="L97" s="18" cm="1">
        <f t="array" ref="L97">IF(S97&lt;&gt;0, HEX2DEC(Reverse(S97))-$I97,"")</f>
        <v>27</v>
      </c>
      <c r="M97" s="18" cm="1">
        <f t="array" ref="M97">IF(T97&lt;&gt;0, HEX2DEC(Reverse(T97))-$I97,"")</f>
        <v>18</v>
      </c>
      <c r="O97" s="3">
        <v>1010100</v>
      </c>
      <c r="P97" s="3" t="s">
        <v>114</v>
      </c>
      <c r="Q97" s="3" t="s">
        <v>911</v>
      </c>
      <c r="R97" s="19" t="s">
        <v>146</v>
      </c>
      <c r="S97" s="3" t="s">
        <v>913</v>
      </c>
      <c r="T97" s="3" t="s">
        <v>148</v>
      </c>
      <c r="U97" s="3">
        <v>2278800000</v>
      </c>
      <c r="V97" s="4" t="s">
        <v>914</v>
      </c>
    </row>
    <row r="98" spans="1:22" x14ac:dyDescent="0.2">
      <c r="A98" s="16" t="s">
        <v>186</v>
      </c>
      <c r="B98" s="16">
        <v>2909</v>
      </c>
      <c r="C98" s="15" t="s">
        <v>2</v>
      </c>
      <c r="D98" s="15" t="s">
        <v>1</v>
      </c>
      <c r="E98" s="15" t="s">
        <v>92</v>
      </c>
      <c r="F98" s="15" t="s">
        <v>96</v>
      </c>
      <c r="G98" s="15"/>
      <c r="H98" s="17" t="str" cm="1">
        <f t="array" ref="H98">Reverse2_6(O98)</f>
        <v>00-010101</v>
      </c>
      <c r="I98" s="18" cm="1">
        <f t="array" ref="I98">HEX2DEC(Reverse(P98))</f>
        <v>93631153</v>
      </c>
      <c r="J98" s="18" cm="1">
        <f t="array" ref="J98">IF(Q98&lt;&gt;0, HEX2DEC(Reverse(Q98))-$I98,"")</f>
        <v>27</v>
      </c>
      <c r="K98" s="18" cm="1">
        <f t="array" ref="K98">IF(R98&lt;&gt;0, HEX2DEC(Reverse(R98))-$I98,"")</f>
        <v>17</v>
      </c>
      <c r="L98" s="18" cm="1">
        <f t="array" ref="L98">IF(S98&lt;&gt;0, HEX2DEC(Reverse(S98))-$I98,"")</f>
        <v>28</v>
      </c>
      <c r="M98" s="18" cm="1">
        <f t="array" ref="M98">IF(T98&lt;&gt;0, HEX2DEC(Reverse(T98))-$I98,"")</f>
        <v>18</v>
      </c>
      <c r="O98" s="3">
        <v>1010100</v>
      </c>
      <c r="P98" s="3" t="s">
        <v>114</v>
      </c>
      <c r="Q98" s="3" t="s">
        <v>913</v>
      </c>
      <c r="R98" s="19" t="s">
        <v>146</v>
      </c>
      <c r="S98" s="3" t="s">
        <v>915</v>
      </c>
      <c r="T98" s="3" t="s">
        <v>148</v>
      </c>
      <c r="U98" s="3" t="s">
        <v>916</v>
      </c>
      <c r="V98" s="4" t="s">
        <v>917</v>
      </c>
    </row>
    <row r="99" spans="1:22" x14ac:dyDescent="0.2">
      <c r="A99" s="16" t="s">
        <v>187</v>
      </c>
      <c r="B99" s="16">
        <v>2910</v>
      </c>
      <c r="C99" s="15" t="s">
        <v>2</v>
      </c>
      <c r="D99" s="15" t="s">
        <v>1</v>
      </c>
      <c r="E99" s="15" t="s">
        <v>92</v>
      </c>
      <c r="F99" s="15" t="s">
        <v>96</v>
      </c>
      <c r="G99" s="15"/>
      <c r="H99" s="17" t="str" cm="1">
        <f t="array" ref="H99">Reverse2_6(O99)</f>
        <v>00-010101</v>
      </c>
      <c r="I99" s="18" cm="1">
        <f t="array" ref="I99">HEX2DEC(Reverse(P99))</f>
        <v>93631153</v>
      </c>
      <c r="J99" s="18" cm="1">
        <f t="array" ref="J99">IF(Q99&lt;&gt;0, HEX2DEC(Reverse(Q99))-$I99,"")</f>
        <v>28</v>
      </c>
      <c r="K99" s="18" cm="1">
        <f t="array" ref="K99">IF(R99&lt;&gt;0, HEX2DEC(Reverse(R99))-$I99,"")</f>
        <v>17</v>
      </c>
      <c r="L99" s="18" cm="1">
        <f t="array" ref="L99">IF(S99&lt;&gt;0, HEX2DEC(Reverse(S99))-$I99,"")</f>
        <v>29</v>
      </c>
      <c r="M99" s="18" cm="1">
        <f t="array" ref="M99">IF(T99&lt;&gt;0, HEX2DEC(Reverse(T99))-$I99,"")</f>
        <v>18</v>
      </c>
      <c r="O99" s="3">
        <v>1010100</v>
      </c>
      <c r="P99" s="3" t="s">
        <v>114</v>
      </c>
      <c r="Q99" s="3" t="s">
        <v>915</v>
      </c>
      <c r="R99" s="19" t="s">
        <v>146</v>
      </c>
      <c r="S99" s="3" t="s">
        <v>918</v>
      </c>
      <c r="T99" s="3" t="s">
        <v>148</v>
      </c>
      <c r="U99" s="3" t="s">
        <v>919</v>
      </c>
      <c r="V99" s="4" t="s">
        <v>920</v>
      </c>
    </row>
    <row r="100" spans="1:22" x14ac:dyDescent="0.2">
      <c r="A100" s="16" t="s">
        <v>188</v>
      </c>
      <c r="B100" s="16">
        <v>2911</v>
      </c>
      <c r="C100" s="15" t="s">
        <v>2</v>
      </c>
      <c r="D100" s="15" t="s">
        <v>1</v>
      </c>
      <c r="E100" s="15" t="s">
        <v>92</v>
      </c>
      <c r="F100" s="15" t="s">
        <v>96</v>
      </c>
      <c r="G100" s="15"/>
      <c r="H100" s="17" t="str" cm="1">
        <f t="array" ref="H100">Reverse2_6(O100)</f>
        <v>00-010101</v>
      </c>
      <c r="I100" s="18" cm="1">
        <f t="array" ref="I100">HEX2DEC(Reverse(P100))</f>
        <v>93631153</v>
      </c>
      <c r="J100" s="18" cm="1">
        <f t="array" ref="J100">IF(Q100&lt;&gt;0, HEX2DEC(Reverse(Q100))-$I100,"")</f>
        <v>29</v>
      </c>
      <c r="K100" s="18" cm="1">
        <f t="array" ref="K100">IF(R100&lt;&gt;0, HEX2DEC(Reverse(R100))-$I100,"")</f>
        <v>17</v>
      </c>
      <c r="L100" s="18" cm="1">
        <f t="array" ref="L100">IF(S100&lt;&gt;0, HEX2DEC(Reverse(S100))-$I100,"")</f>
        <v>30</v>
      </c>
      <c r="M100" s="18" cm="1">
        <f t="array" ref="M100">IF(T100&lt;&gt;0, HEX2DEC(Reverse(T100))-$I100,"")</f>
        <v>18</v>
      </c>
      <c r="O100" s="3">
        <v>1010100</v>
      </c>
      <c r="P100" s="3" t="s">
        <v>114</v>
      </c>
      <c r="Q100" s="3" t="s">
        <v>918</v>
      </c>
      <c r="R100" s="19" t="s">
        <v>146</v>
      </c>
      <c r="S100" s="3" t="s">
        <v>921</v>
      </c>
      <c r="T100" s="3" t="s">
        <v>148</v>
      </c>
      <c r="U100" s="3" t="s">
        <v>922</v>
      </c>
      <c r="V100" s="4" t="s">
        <v>923</v>
      </c>
    </row>
    <row r="101" spans="1:22" x14ac:dyDescent="0.2">
      <c r="A101" s="16" t="s">
        <v>189</v>
      </c>
      <c r="B101" s="16">
        <v>2912</v>
      </c>
      <c r="C101" s="15" t="s">
        <v>2</v>
      </c>
      <c r="D101" s="15" t="s">
        <v>1</v>
      </c>
      <c r="E101" s="15" t="s">
        <v>92</v>
      </c>
      <c r="F101" s="15" t="s">
        <v>96</v>
      </c>
      <c r="G101" s="15"/>
      <c r="H101" s="17" t="str" cm="1">
        <f t="array" ref="H101">Reverse2_6(O101)</f>
        <v>00-010101</v>
      </c>
      <c r="I101" s="18" cm="1">
        <f t="array" ref="I101">HEX2DEC(Reverse(P101))</f>
        <v>93631153</v>
      </c>
      <c r="J101" s="18" cm="1">
        <f t="array" ref="J101">IF(Q101&lt;&gt;0, HEX2DEC(Reverse(Q101))-$I101,"")</f>
        <v>30</v>
      </c>
      <c r="K101" s="18" cm="1">
        <f t="array" ref="K101">IF(R101&lt;&gt;0, HEX2DEC(Reverse(R101))-$I101,"")</f>
        <v>17</v>
      </c>
      <c r="L101" s="18" cm="1">
        <f t="array" ref="L101">IF(S101&lt;&gt;0, HEX2DEC(Reverse(S101))-$I101,"")</f>
        <v>31</v>
      </c>
      <c r="M101" s="18" cm="1">
        <f t="array" ref="M101">IF(T101&lt;&gt;0, HEX2DEC(Reverse(T101))-$I101,"")</f>
        <v>18</v>
      </c>
      <c r="O101" s="3">
        <v>1010100</v>
      </c>
      <c r="P101" s="3" t="s">
        <v>114</v>
      </c>
      <c r="Q101" s="3" t="s">
        <v>921</v>
      </c>
      <c r="R101" s="19" t="s">
        <v>146</v>
      </c>
      <c r="S101" s="3" t="s">
        <v>924</v>
      </c>
      <c r="T101" s="3" t="s">
        <v>148</v>
      </c>
      <c r="U101" s="3" t="s">
        <v>925</v>
      </c>
      <c r="V101" s="4" t="s">
        <v>926</v>
      </c>
    </row>
    <row r="102" spans="1:22" x14ac:dyDescent="0.2">
      <c r="A102" s="20" t="s">
        <v>190</v>
      </c>
      <c r="B102" s="20">
        <v>2913</v>
      </c>
      <c r="C102" s="21" t="s">
        <v>1</v>
      </c>
      <c r="D102" s="21" t="s">
        <v>2</v>
      </c>
      <c r="E102" s="21" t="s">
        <v>90</v>
      </c>
      <c r="F102" s="21" t="s">
        <v>94</v>
      </c>
      <c r="G102" s="21" t="s">
        <v>1778</v>
      </c>
      <c r="H102" s="22" t="str" cm="1">
        <f t="array" ref="H102">Reverse2_6(O102)</f>
        <v>00-010201</v>
      </c>
      <c r="I102" s="45" cm="1">
        <f t="array" ref="I102">HEX2DEC(Reverse(P102))</f>
        <v>93631153</v>
      </c>
      <c r="J102" s="45" cm="1">
        <f t="array" ref="J102">IF(Q102&lt;&gt;0, HEX2DEC(Reverse(Q102))-$I102,"")</f>
        <v>17</v>
      </c>
      <c r="K102" s="45" cm="1">
        <f t="array" ref="K102">IF(R102&lt;&gt;0, HEX2DEC(Reverse(R102))-$I102,"")</f>
        <v>26</v>
      </c>
      <c r="L102" s="45" t="str" cm="1">
        <f t="array" ref="L102">IF(S102&lt;&gt;0, HEX2DEC(Reverse(S102))-$I102,"")</f>
        <v/>
      </c>
      <c r="M102" s="45" cm="1">
        <f t="array" ref="M102">IF(T102&lt;&gt;0, HEX2DEC(Reverse(T102))-$I102,"")</f>
        <v>27</v>
      </c>
      <c r="O102" s="3">
        <v>1020100</v>
      </c>
      <c r="P102" s="3" t="s">
        <v>114</v>
      </c>
      <c r="Q102" s="3" t="s">
        <v>146</v>
      </c>
      <c r="R102" s="3" t="s">
        <v>911</v>
      </c>
      <c r="S102" s="3">
        <v>0</v>
      </c>
      <c r="T102" s="3" t="s">
        <v>913</v>
      </c>
      <c r="U102" s="3"/>
      <c r="V102" s="4"/>
    </row>
    <row r="103" spans="1:22" x14ac:dyDescent="0.2">
      <c r="A103" s="20" t="s">
        <v>191</v>
      </c>
      <c r="B103" s="20">
        <v>2914</v>
      </c>
      <c r="C103" s="21" t="s">
        <v>1</v>
      </c>
      <c r="D103" s="21" t="s">
        <v>2</v>
      </c>
      <c r="E103" s="21" t="s">
        <v>90</v>
      </c>
      <c r="F103" s="21" t="s">
        <v>94</v>
      </c>
      <c r="G103" s="21" t="s">
        <v>1778</v>
      </c>
      <c r="H103" s="22" t="str" cm="1">
        <f t="array" ref="H103">Reverse2_6(O103)</f>
        <v>00-010201</v>
      </c>
      <c r="I103" s="45" cm="1">
        <f t="array" ref="I103">HEX2DEC(Reverse(P103))</f>
        <v>93631153</v>
      </c>
      <c r="J103" s="45" cm="1">
        <f t="array" ref="J103">IF(Q103&lt;&gt;0, HEX2DEC(Reverse(Q103))-$I103,"")</f>
        <v>17</v>
      </c>
      <c r="K103" s="45" cm="1">
        <f t="array" ref="K103">IF(R103&lt;&gt;0, HEX2DEC(Reverse(R103))-$I103,"")</f>
        <v>27</v>
      </c>
      <c r="L103" s="45" t="str" cm="1">
        <f t="array" ref="L103">IF(S103&lt;&gt;0, HEX2DEC(Reverse(S103))-$I103,"")</f>
        <v/>
      </c>
      <c r="M103" s="45" cm="1">
        <f t="array" ref="M103">IF(T103&lt;&gt;0, HEX2DEC(Reverse(T103))-$I103,"")</f>
        <v>28</v>
      </c>
      <c r="O103" s="3">
        <v>1020100</v>
      </c>
      <c r="P103" s="3" t="s">
        <v>114</v>
      </c>
      <c r="Q103" s="3" t="s">
        <v>146</v>
      </c>
      <c r="R103" s="3" t="s">
        <v>913</v>
      </c>
      <c r="S103" s="3">
        <v>0</v>
      </c>
      <c r="T103" s="3" t="s">
        <v>915</v>
      </c>
      <c r="U103" s="3"/>
      <c r="V103" s="4"/>
    </row>
    <row r="104" spans="1:22" x14ac:dyDescent="0.2">
      <c r="A104" s="20" t="s">
        <v>192</v>
      </c>
      <c r="B104" s="20">
        <v>2915</v>
      </c>
      <c r="C104" s="21" t="s">
        <v>1</v>
      </c>
      <c r="D104" s="21" t="s">
        <v>2</v>
      </c>
      <c r="E104" s="21" t="s">
        <v>90</v>
      </c>
      <c r="F104" s="21" t="s">
        <v>94</v>
      </c>
      <c r="G104" s="21" t="s">
        <v>1778</v>
      </c>
      <c r="H104" s="22" t="str" cm="1">
        <f t="array" ref="H104">Reverse2_6(O104)</f>
        <v>00-010201</v>
      </c>
      <c r="I104" s="45" cm="1">
        <f t="array" ref="I104">HEX2DEC(Reverse(P104))</f>
        <v>93631153</v>
      </c>
      <c r="J104" s="45" cm="1">
        <f t="array" ref="J104">IF(Q104&lt;&gt;0, HEX2DEC(Reverse(Q104))-$I104,"")</f>
        <v>17</v>
      </c>
      <c r="K104" s="45" cm="1">
        <f t="array" ref="K104">IF(R104&lt;&gt;0, HEX2DEC(Reverse(R104))-$I104,"")</f>
        <v>28</v>
      </c>
      <c r="L104" s="45" t="str" cm="1">
        <f t="array" ref="L104">IF(S104&lt;&gt;0, HEX2DEC(Reverse(S104))-$I104,"")</f>
        <v/>
      </c>
      <c r="M104" s="45" cm="1">
        <f t="array" ref="M104">IF(T104&lt;&gt;0, HEX2DEC(Reverse(T104))-$I104,"")</f>
        <v>29</v>
      </c>
      <c r="O104" s="3">
        <v>1020100</v>
      </c>
      <c r="P104" s="3" t="s">
        <v>114</v>
      </c>
      <c r="Q104" s="3" t="s">
        <v>146</v>
      </c>
      <c r="R104" s="3" t="s">
        <v>915</v>
      </c>
      <c r="S104" s="3">
        <v>0</v>
      </c>
      <c r="T104" s="3" t="s">
        <v>918</v>
      </c>
      <c r="U104" s="3"/>
      <c r="V104" s="4"/>
    </row>
    <row r="105" spans="1:22" x14ac:dyDescent="0.2">
      <c r="A105" s="20" t="s">
        <v>193</v>
      </c>
      <c r="B105" s="20">
        <v>2916</v>
      </c>
      <c r="C105" s="21" t="s">
        <v>1</v>
      </c>
      <c r="D105" s="21" t="s">
        <v>2</v>
      </c>
      <c r="E105" s="21" t="s">
        <v>90</v>
      </c>
      <c r="F105" s="21" t="s">
        <v>94</v>
      </c>
      <c r="G105" s="21" t="s">
        <v>1778</v>
      </c>
      <c r="H105" s="22" t="str" cm="1">
        <f t="array" ref="H105">Reverse2_6(O105)</f>
        <v>00-010201</v>
      </c>
      <c r="I105" s="45" cm="1">
        <f t="array" ref="I105">HEX2DEC(Reverse(P105))</f>
        <v>93631153</v>
      </c>
      <c r="J105" s="45" cm="1">
        <f t="array" ref="J105">IF(Q105&lt;&gt;0, HEX2DEC(Reverse(Q105))-$I105,"")</f>
        <v>17</v>
      </c>
      <c r="K105" s="45" cm="1">
        <f t="array" ref="K105">IF(R105&lt;&gt;0, HEX2DEC(Reverse(R105))-$I105,"")</f>
        <v>29</v>
      </c>
      <c r="L105" s="45" t="str" cm="1">
        <f t="array" ref="L105">IF(S105&lt;&gt;0, HEX2DEC(Reverse(S105))-$I105,"")</f>
        <v/>
      </c>
      <c r="M105" s="45" cm="1">
        <f t="array" ref="M105">IF(T105&lt;&gt;0, HEX2DEC(Reverse(T105))-$I105,"")</f>
        <v>30</v>
      </c>
      <c r="O105" s="3">
        <v>1020100</v>
      </c>
      <c r="P105" s="3" t="s">
        <v>114</v>
      </c>
      <c r="Q105" s="3" t="s">
        <v>146</v>
      </c>
      <c r="R105" s="3" t="s">
        <v>918</v>
      </c>
      <c r="S105" s="3">
        <v>0</v>
      </c>
      <c r="T105" s="12" t="s">
        <v>921</v>
      </c>
      <c r="U105" s="3"/>
      <c r="V105" s="4"/>
    </row>
    <row r="106" spans="1:22" x14ac:dyDescent="0.2">
      <c r="A106" s="20" t="s">
        <v>194</v>
      </c>
      <c r="B106" s="20">
        <v>2917</v>
      </c>
      <c r="C106" s="21" t="s">
        <v>1</v>
      </c>
      <c r="D106" s="21" t="s">
        <v>2</v>
      </c>
      <c r="E106" s="21" t="s">
        <v>90</v>
      </c>
      <c r="F106" s="21" t="s">
        <v>94</v>
      </c>
      <c r="G106" s="21" t="s">
        <v>1778</v>
      </c>
      <c r="H106" s="22" t="str" cm="1">
        <f t="array" ref="H106">Reverse2_6(O106)</f>
        <v>00-010201</v>
      </c>
      <c r="I106" s="45" cm="1">
        <f t="array" ref="I106">HEX2DEC(Reverse(P106))</f>
        <v>93631153</v>
      </c>
      <c r="J106" s="45" cm="1">
        <f t="array" ref="J106">IF(Q106&lt;&gt;0, HEX2DEC(Reverse(Q106))-$I106,"")</f>
        <v>17</v>
      </c>
      <c r="K106" s="45" cm="1">
        <f t="array" ref="K106">IF(R106&lt;&gt;0, HEX2DEC(Reverse(R106))-$I106,"")</f>
        <v>30</v>
      </c>
      <c r="L106" s="45" t="str" cm="1">
        <f t="array" ref="L106">IF(S106&lt;&gt;0, HEX2DEC(Reverse(S106))-$I106,"")</f>
        <v/>
      </c>
      <c r="M106" s="45" cm="1">
        <f t="array" ref="M106">IF(T106&lt;&gt;0, HEX2DEC(Reverse(T106))-$I106,"")</f>
        <v>31</v>
      </c>
      <c r="O106" s="3">
        <v>1020100</v>
      </c>
      <c r="P106" s="3" t="s">
        <v>114</v>
      </c>
      <c r="Q106" s="3" t="s">
        <v>146</v>
      </c>
      <c r="R106" s="12" t="s">
        <v>921</v>
      </c>
      <c r="S106" s="3">
        <v>0</v>
      </c>
      <c r="T106" s="3" t="s">
        <v>924</v>
      </c>
      <c r="U106" s="3"/>
      <c r="V106" s="4"/>
    </row>
    <row r="107" spans="1:22" x14ac:dyDescent="0.2">
      <c r="A107" s="16" t="s">
        <v>195</v>
      </c>
      <c r="B107" s="16">
        <v>2918</v>
      </c>
      <c r="C107" s="15" t="s">
        <v>2</v>
      </c>
      <c r="D107" s="15" t="s">
        <v>1</v>
      </c>
      <c r="E107" s="15" t="s">
        <v>92</v>
      </c>
      <c r="F107" s="15" t="s">
        <v>96</v>
      </c>
      <c r="G107" s="15"/>
      <c r="H107" s="17" t="str" cm="1">
        <f t="array" ref="H107">Reverse2_6(O107)</f>
        <v>00-010101</v>
      </c>
      <c r="I107" s="18" cm="1">
        <f t="array" ref="I107">HEX2DEC(Reverse(P107))</f>
        <v>93631153</v>
      </c>
      <c r="J107" s="18" cm="1">
        <f t="array" ref="J107">IF(Q107&lt;&gt;0, HEX2DEC(Reverse(Q107))-$I107,"")</f>
        <v>31</v>
      </c>
      <c r="K107" s="18" cm="1">
        <f t="array" ref="K107">IF(R107&lt;&gt;0, HEX2DEC(Reverse(R107))-$I107,"")</f>
        <v>17</v>
      </c>
      <c r="L107" s="18" cm="1">
        <f t="array" ref="L107">IF(S107&lt;&gt;0, HEX2DEC(Reverse(S107))-$I107,"")</f>
        <v>32</v>
      </c>
      <c r="M107" s="18" cm="1">
        <f t="array" ref="M107">IF(T107&lt;&gt;0, HEX2DEC(Reverse(T107))-$I107,"")</f>
        <v>18</v>
      </c>
      <c r="O107" s="3">
        <v>1010100</v>
      </c>
      <c r="P107" s="3" t="s">
        <v>114</v>
      </c>
      <c r="Q107" s="3" t="s">
        <v>924</v>
      </c>
      <c r="R107" s="19" t="s">
        <v>146</v>
      </c>
      <c r="S107" s="3" t="s">
        <v>927</v>
      </c>
      <c r="T107" s="3" t="s">
        <v>148</v>
      </c>
      <c r="U107" s="3" t="s">
        <v>928</v>
      </c>
      <c r="V107" s="4" t="s">
        <v>929</v>
      </c>
    </row>
    <row r="108" spans="1:22" x14ac:dyDescent="0.2">
      <c r="A108" s="20" t="s">
        <v>196</v>
      </c>
      <c r="B108" s="20">
        <v>2919</v>
      </c>
      <c r="C108" s="21" t="s">
        <v>1</v>
      </c>
      <c r="D108" s="21" t="s">
        <v>2</v>
      </c>
      <c r="E108" s="21" t="s">
        <v>90</v>
      </c>
      <c r="F108" s="21" t="s">
        <v>94</v>
      </c>
      <c r="G108" s="21" t="s">
        <v>1778</v>
      </c>
      <c r="H108" s="22" t="str" cm="1">
        <f t="array" ref="H108">Reverse2_6(O108)</f>
        <v>00-010201</v>
      </c>
      <c r="I108" s="45" cm="1">
        <f t="array" ref="I108">HEX2DEC(Reverse(P108))</f>
        <v>93631153</v>
      </c>
      <c r="J108" s="45" cm="1">
        <f t="array" ref="J108">IF(Q108&lt;&gt;0, HEX2DEC(Reverse(Q108))-$I108,"")</f>
        <v>17</v>
      </c>
      <c r="K108" s="45" cm="1">
        <f t="array" ref="K108">IF(R108&lt;&gt;0, HEX2DEC(Reverse(R108))-$I108,"")</f>
        <v>31</v>
      </c>
      <c r="L108" s="45" t="str" cm="1">
        <f t="array" ref="L108">IF(S108&lt;&gt;0, HEX2DEC(Reverse(S108))-$I108,"")</f>
        <v/>
      </c>
      <c r="M108" s="45" cm="1">
        <f t="array" ref="M108">IF(T108&lt;&gt;0, HEX2DEC(Reverse(T108))-$I108,"")</f>
        <v>32</v>
      </c>
      <c r="O108" s="3">
        <v>1020100</v>
      </c>
      <c r="P108" s="3" t="s">
        <v>114</v>
      </c>
      <c r="Q108" s="3" t="s">
        <v>146</v>
      </c>
      <c r="R108" s="3" t="s">
        <v>924</v>
      </c>
      <c r="S108" s="3">
        <v>0</v>
      </c>
      <c r="T108" s="3" t="s">
        <v>927</v>
      </c>
      <c r="U108" s="3"/>
      <c r="V108" s="4"/>
    </row>
    <row r="109" spans="1:22" x14ac:dyDescent="0.2">
      <c r="A109" s="16" t="s">
        <v>197</v>
      </c>
      <c r="B109" s="16">
        <v>2920</v>
      </c>
      <c r="C109" s="15" t="s">
        <v>2</v>
      </c>
      <c r="D109" s="15" t="s">
        <v>1</v>
      </c>
      <c r="E109" s="15" t="s">
        <v>92</v>
      </c>
      <c r="F109" s="15" t="s">
        <v>96</v>
      </c>
      <c r="G109" s="15"/>
      <c r="H109" s="17" t="str" cm="1">
        <f t="array" ref="H109">Reverse2_6(O109)</f>
        <v>00-010101</v>
      </c>
      <c r="I109" s="18" cm="1">
        <f t="array" ref="I109">HEX2DEC(Reverse(P109))</f>
        <v>93631153</v>
      </c>
      <c r="J109" s="18" cm="1">
        <f t="array" ref="J109">IF(Q109&lt;&gt;0, HEX2DEC(Reverse(Q109))-$I109,"")</f>
        <v>32</v>
      </c>
      <c r="K109" s="18" cm="1">
        <f t="array" ref="K109">IF(R109&lt;&gt;0, HEX2DEC(Reverse(R109))-$I109,"")</f>
        <v>17</v>
      </c>
      <c r="L109" s="18" cm="1">
        <f t="array" ref="L109">IF(S109&lt;&gt;0, HEX2DEC(Reverse(S109))-$I109,"")</f>
        <v>33</v>
      </c>
      <c r="M109" s="18" cm="1">
        <f t="array" ref="M109">IF(T109&lt;&gt;0, HEX2DEC(Reverse(T109))-$I109,"")</f>
        <v>18</v>
      </c>
      <c r="O109" s="3">
        <v>1010100</v>
      </c>
      <c r="P109" s="3" t="s">
        <v>114</v>
      </c>
      <c r="Q109" s="3" t="s">
        <v>927</v>
      </c>
      <c r="R109" s="19" t="s">
        <v>146</v>
      </c>
      <c r="S109" s="3" t="s">
        <v>930</v>
      </c>
      <c r="T109" s="3" t="s">
        <v>148</v>
      </c>
      <c r="U109" s="3" t="s">
        <v>931</v>
      </c>
      <c r="V109" s="4" t="s">
        <v>932</v>
      </c>
    </row>
    <row r="110" spans="1:22" x14ac:dyDescent="0.2">
      <c r="A110" s="16" t="s">
        <v>198</v>
      </c>
      <c r="B110" s="16">
        <v>2922</v>
      </c>
      <c r="C110" s="15" t="s">
        <v>2</v>
      </c>
      <c r="D110" s="15" t="s">
        <v>1</v>
      </c>
      <c r="E110" s="15" t="s">
        <v>92</v>
      </c>
      <c r="F110" s="15" t="s">
        <v>96</v>
      </c>
      <c r="G110" s="15"/>
      <c r="H110" s="17" t="str" cm="1">
        <f t="array" ref="H110">Reverse2_6(O110)</f>
        <v>00-010101</v>
      </c>
      <c r="I110" s="18" cm="1">
        <f t="array" ref="I110">HEX2DEC(Reverse(P110))</f>
        <v>93631153</v>
      </c>
      <c r="J110" s="18" cm="1">
        <f t="array" ref="J110">IF(Q110&lt;&gt;0, HEX2DEC(Reverse(Q110))-$I110,"")</f>
        <v>33</v>
      </c>
      <c r="K110" s="18" cm="1">
        <f t="array" ref="K110">IF(R110&lt;&gt;0, HEX2DEC(Reverse(R110))-$I110,"")</f>
        <v>17</v>
      </c>
      <c r="L110" s="18" cm="1">
        <f t="array" ref="L110">IF(S110&lt;&gt;0, HEX2DEC(Reverse(S110))-$I110,"")</f>
        <v>34</v>
      </c>
      <c r="M110" s="18" cm="1">
        <f t="array" ref="M110">IF(T110&lt;&gt;0, HEX2DEC(Reverse(T110))-$I110,"")</f>
        <v>18</v>
      </c>
      <c r="O110" s="3">
        <v>1010100</v>
      </c>
      <c r="P110" s="3" t="s">
        <v>114</v>
      </c>
      <c r="Q110" s="3" t="s">
        <v>930</v>
      </c>
      <c r="R110" s="19" t="s">
        <v>146</v>
      </c>
      <c r="S110" s="3" t="s">
        <v>933</v>
      </c>
      <c r="T110" s="3" t="s">
        <v>148</v>
      </c>
      <c r="U110" s="3" t="s">
        <v>934</v>
      </c>
      <c r="V110" s="4" t="s">
        <v>935</v>
      </c>
    </row>
    <row r="111" spans="1:22" x14ac:dyDescent="0.2">
      <c r="A111" s="16" t="s">
        <v>199</v>
      </c>
      <c r="B111" s="16">
        <v>2923</v>
      </c>
      <c r="C111" s="15" t="s">
        <v>2</v>
      </c>
      <c r="D111" s="15" t="s">
        <v>1</v>
      </c>
      <c r="E111" s="15" t="s">
        <v>92</v>
      </c>
      <c r="F111" s="15" t="s">
        <v>96</v>
      </c>
      <c r="G111" s="15"/>
      <c r="H111" s="17" t="str" cm="1">
        <f t="array" ref="H111">Reverse2_6(O111)</f>
        <v>00-010101</v>
      </c>
      <c r="I111" s="18" cm="1">
        <f t="array" ref="I111">HEX2DEC(Reverse(P111))</f>
        <v>93631153</v>
      </c>
      <c r="J111" s="18" cm="1">
        <f t="array" ref="J111">IF(Q111&lt;&gt;0, HEX2DEC(Reverse(Q111))-$I111,"")</f>
        <v>34</v>
      </c>
      <c r="K111" s="18" cm="1">
        <f t="array" ref="K111">IF(R111&lt;&gt;0, HEX2DEC(Reverse(R111))-$I111,"")</f>
        <v>17</v>
      </c>
      <c r="L111" s="18" cm="1">
        <f t="array" ref="L111">IF(S111&lt;&gt;0, HEX2DEC(Reverse(S111))-$I111,"")</f>
        <v>35</v>
      </c>
      <c r="M111" s="18" cm="1">
        <f t="array" ref="M111">IF(T111&lt;&gt;0, HEX2DEC(Reverse(T111))-$I111,"")</f>
        <v>18</v>
      </c>
      <c r="O111" s="3">
        <v>1010100</v>
      </c>
      <c r="P111" s="3" t="s">
        <v>114</v>
      </c>
      <c r="Q111" s="3" t="s">
        <v>933</v>
      </c>
      <c r="R111" s="19" t="s">
        <v>146</v>
      </c>
      <c r="S111" s="3" t="s">
        <v>936</v>
      </c>
      <c r="T111" s="3" t="s">
        <v>148</v>
      </c>
      <c r="U111" s="3">
        <v>99173241</v>
      </c>
      <c r="V111" s="4" t="s">
        <v>937</v>
      </c>
    </row>
    <row r="112" spans="1:22" x14ac:dyDescent="0.2">
      <c r="A112" s="20" t="s">
        <v>200</v>
      </c>
      <c r="B112" s="20">
        <v>2924</v>
      </c>
      <c r="C112" s="21" t="s">
        <v>1</v>
      </c>
      <c r="D112" s="21" t="s">
        <v>2</v>
      </c>
      <c r="E112" s="21" t="s">
        <v>90</v>
      </c>
      <c r="F112" s="21" t="s">
        <v>94</v>
      </c>
      <c r="G112" s="21" t="s">
        <v>1778</v>
      </c>
      <c r="H112" s="22" t="str" cm="1">
        <f t="array" ref="H112">Reverse2_6(O112)</f>
        <v>00-010201</v>
      </c>
      <c r="I112" s="45" cm="1">
        <f t="array" ref="I112">HEX2DEC(Reverse(P112))</f>
        <v>93631153</v>
      </c>
      <c r="J112" s="45" cm="1">
        <f t="array" ref="J112">IF(Q112&lt;&gt;0, HEX2DEC(Reverse(Q112))-$I112,"")</f>
        <v>17</v>
      </c>
      <c r="K112" s="45" cm="1">
        <f t="array" ref="K112">IF(R112&lt;&gt;0, HEX2DEC(Reverse(R112))-$I112,"")</f>
        <v>32</v>
      </c>
      <c r="L112" s="45" t="str" cm="1">
        <f t="array" ref="L112">IF(S112&lt;&gt;0, HEX2DEC(Reverse(S112))-$I112,"")</f>
        <v/>
      </c>
      <c r="M112" s="45" cm="1">
        <f t="array" ref="M112">IF(T112&lt;&gt;0, HEX2DEC(Reverse(T112))-$I112,"")</f>
        <v>33</v>
      </c>
      <c r="O112" s="3">
        <v>1020100</v>
      </c>
      <c r="P112" s="3" t="s">
        <v>114</v>
      </c>
      <c r="Q112" s="3" t="s">
        <v>146</v>
      </c>
      <c r="R112" s="3" t="s">
        <v>927</v>
      </c>
      <c r="S112" s="3">
        <v>0</v>
      </c>
      <c r="T112" s="3" t="s">
        <v>930</v>
      </c>
      <c r="U112" s="3"/>
      <c r="V112" s="4"/>
    </row>
    <row r="113" spans="1:22" x14ac:dyDescent="0.2">
      <c r="A113" s="20" t="s">
        <v>201</v>
      </c>
      <c r="B113" s="20">
        <v>2925</v>
      </c>
      <c r="C113" s="21" t="s">
        <v>1</v>
      </c>
      <c r="D113" s="21" t="s">
        <v>2</v>
      </c>
      <c r="E113" s="21" t="s">
        <v>90</v>
      </c>
      <c r="F113" s="21" t="s">
        <v>94</v>
      </c>
      <c r="G113" s="21" t="s">
        <v>1778</v>
      </c>
      <c r="H113" s="22" t="str" cm="1">
        <f t="array" ref="H113">Reverse2_6(O113)</f>
        <v>00-010201</v>
      </c>
      <c r="I113" s="45" cm="1">
        <f t="array" ref="I113">HEX2DEC(Reverse(P113))</f>
        <v>93631153</v>
      </c>
      <c r="J113" s="45" cm="1">
        <f t="array" ref="J113">IF(Q113&lt;&gt;0, HEX2DEC(Reverse(Q113))-$I113,"")</f>
        <v>17</v>
      </c>
      <c r="K113" s="45" cm="1">
        <f t="array" ref="K113">IF(R113&lt;&gt;0, HEX2DEC(Reverse(R113))-$I113,"")</f>
        <v>33</v>
      </c>
      <c r="L113" s="45" t="str" cm="1">
        <f t="array" ref="L113">IF(S113&lt;&gt;0, HEX2DEC(Reverse(S113))-$I113,"")</f>
        <v/>
      </c>
      <c r="M113" s="45" cm="1">
        <f t="array" ref="M113">IF(T113&lt;&gt;0, HEX2DEC(Reverse(T113))-$I113,"")</f>
        <v>34</v>
      </c>
      <c r="O113" s="3">
        <v>1020100</v>
      </c>
      <c r="P113" s="3" t="s">
        <v>114</v>
      </c>
      <c r="Q113" s="3" t="s">
        <v>146</v>
      </c>
      <c r="R113" s="3" t="s">
        <v>930</v>
      </c>
      <c r="S113" s="3">
        <v>0</v>
      </c>
      <c r="T113" s="3" t="s">
        <v>933</v>
      </c>
      <c r="U113" s="3"/>
      <c r="V113" s="4"/>
    </row>
    <row r="114" spans="1:22" x14ac:dyDescent="0.2">
      <c r="A114" s="20" t="s">
        <v>202</v>
      </c>
      <c r="B114" s="20">
        <v>2927</v>
      </c>
      <c r="C114" s="21" t="s">
        <v>1</v>
      </c>
      <c r="D114" s="21" t="s">
        <v>2</v>
      </c>
      <c r="E114" s="21" t="s">
        <v>90</v>
      </c>
      <c r="F114" s="21" t="s">
        <v>94</v>
      </c>
      <c r="G114" s="21" t="s">
        <v>1778</v>
      </c>
      <c r="H114" s="22" t="str" cm="1">
        <f t="array" ref="H114">Reverse2_6(O114)</f>
        <v>00-010201</v>
      </c>
      <c r="I114" s="45" cm="1">
        <f t="array" ref="I114">HEX2DEC(Reverse(P114))</f>
        <v>93631153</v>
      </c>
      <c r="J114" s="45" cm="1">
        <f t="array" ref="J114">IF(Q114&lt;&gt;0, HEX2DEC(Reverse(Q114))-$I114,"")</f>
        <v>17</v>
      </c>
      <c r="K114" s="45" cm="1">
        <f t="array" ref="K114">IF(R114&lt;&gt;0, HEX2DEC(Reverse(R114))-$I114,"")</f>
        <v>34</v>
      </c>
      <c r="L114" s="45" t="str" cm="1">
        <f t="array" ref="L114">IF(S114&lt;&gt;0, HEX2DEC(Reverse(S114))-$I114,"")</f>
        <v/>
      </c>
      <c r="M114" s="45" cm="1">
        <f t="array" ref="M114">IF(T114&lt;&gt;0, HEX2DEC(Reverse(T114))-$I114,"")</f>
        <v>35</v>
      </c>
      <c r="O114" s="3">
        <v>1020100</v>
      </c>
      <c r="P114" s="3" t="s">
        <v>114</v>
      </c>
      <c r="Q114" s="3" t="s">
        <v>146</v>
      </c>
      <c r="R114" s="3" t="s">
        <v>933</v>
      </c>
      <c r="S114" s="3">
        <v>0</v>
      </c>
      <c r="T114" s="3" t="s">
        <v>936</v>
      </c>
      <c r="U114" s="3"/>
      <c r="V114" s="4"/>
    </row>
    <row r="115" spans="1:22" x14ac:dyDescent="0.2">
      <c r="A115" s="16" t="s">
        <v>203</v>
      </c>
      <c r="B115" s="16">
        <v>2928</v>
      </c>
      <c r="C115" s="15" t="s">
        <v>2</v>
      </c>
      <c r="D115" s="15" t="s">
        <v>1</v>
      </c>
      <c r="E115" s="15" t="s">
        <v>92</v>
      </c>
      <c r="F115" s="15" t="s">
        <v>96</v>
      </c>
      <c r="G115" s="15"/>
      <c r="H115" s="17" t="str" cm="1">
        <f t="array" ref="H115">Reverse2_6(O115)</f>
        <v>00-010101</v>
      </c>
      <c r="I115" s="18" cm="1">
        <f t="array" ref="I115">HEX2DEC(Reverse(P115))</f>
        <v>93631153</v>
      </c>
      <c r="J115" s="18" cm="1">
        <f t="array" ref="J115">IF(Q115&lt;&gt;0, HEX2DEC(Reverse(Q115))-$I115,"")</f>
        <v>35</v>
      </c>
      <c r="K115" s="18" cm="1">
        <f t="array" ref="K115">IF(R115&lt;&gt;0, HEX2DEC(Reverse(R115))-$I115,"")</f>
        <v>17</v>
      </c>
      <c r="L115" s="18" cm="1">
        <f t="array" ref="L115">IF(S115&lt;&gt;0, HEX2DEC(Reverse(S115))-$I115,"")</f>
        <v>36</v>
      </c>
      <c r="M115" s="18" cm="1">
        <f t="array" ref="M115">IF(T115&lt;&gt;0, HEX2DEC(Reverse(T115))-$I115,"")</f>
        <v>18</v>
      </c>
      <c r="O115" s="3">
        <v>1010100</v>
      </c>
      <c r="P115" s="3" t="s">
        <v>114</v>
      </c>
      <c r="Q115" s="3" t="s">
        <v>936</v>
      </c>
      <c r="R115" s="19" t="s">
        <v>146</v>
      </c>
      <c r="S115" s="3" t="s">
        <v>938</v>
      </c>
      <c r="T115" s="3" t="s">
        <v>148</v>
      </c>
      <c r="U115" s="3" t="s">
        <v>939</v>
      </c>
      <c r="V115" s="4" t="s">
        <v>940</v>
      </c>
    </row>
    <row r="116" spans="1:22" x14ac:dyDescent="0.2">
      <c r="A116" s="16" t="s">
        <v>204</v>
      </c>
      <c r="B116" s="16">
        <v>2929</v>
      </c>
      <c r="C116" s="15" t="s">
        <v>2</v>
      </c>
      <c r="D116" s="15" t="s">
        <v>1</v>
      </c>
      <c r="E116" s="15" t="s">
        <v>92</v>
      </c>
      <c r="F116" s="15" t="s">
        <v>96</v>
      </c>
      <c r="G116" s="15"/>
      <c r="H116" s="17" t="str" cm="1">
        <f t="array" ref="H116">Reverse2_6(O116)</f>
        <v>00-010101</v>
      </c>
      <c r="I116" s="18" cm="1">
        <f t="array" ref="I116">HEX2DEC(Reverse(P116))</f>
        <v>93631153</v>
      </c>
      <c r="J116" s="18" cm="1">
        <f t="array" ref="J116">IF(Q116&lt;&gt;0, HEX2DEC(Reverse(Q116))-$I116,"")</f>
        <v>36</v>
      </c>
      <c r="K116" s="18" cm="1">
        <f t="array" ref="K116">IF(R116&lt;&gt;0, HEX2DEC(Reverse(R116))-$I116,"")</f>
        <v>17</v>
      </c>
      <c r="L116" s="18" cm="1">
        <f t="array" ref="L116">IF(S116&lt;&gt;0, HEX2DEC(Reverse(S116))-$I116,"")</f>
        <v>37</v>
      </c>
      <c r="M116" s="18" cm="1">
        <f t="array" ref="M116">IF(T116&lt;&gt;0, HEX2DEC(Reverse(T116))-$I116,"")</f>
        <v>18</v>
      </c>
      <c r="O116" s="3">
        <v>1010100</v>
      </c>
      <c r="P116" s="3" t="s">
        <v>114</v>
      </c>
      <c r="Q116" s="3" t="s">
        <v>938</v>
      </c>
      <c r="R116" s="19" t="s">
        <v>146</v>
      </c>
      <c r="S116" s="3" t="s">
        <v>941</v>
      </c>
      <c r="T116" s="3" t="s">
        <v>148</v>
      </c>
      <c r="U116" s="3" t="s">
        <v>942</v>
      </c>
      <c r="V116" s="4" t="s">
        <v>943</v>
      </c>
    </row>
    <row r="117" spans="1:22" x14ac:dyDescent="0.2">
      <c r="A117" s="16" t="s">
        <v>205</v>
      </c>
      <c r="B117" s="16">
        <v>2930</v>
      </c>
      <c r="C117" s="15" t="s">
        <v>2</v>
      </c>
      <c r="D117" s="15" t="s">
        <v>1</v>
      </c>
      <c r="E117" s="15" t="s">
        <v>92</v>
      </c>
      <c r="F117" s="15" t="s">
        <v>96</v>
      </c>
      <c r="G117" s="15"/>
      <c r="H117" s="17" t="str" cm="1">
        <f t="array" ref="H117">Reverse2_6(O117)</f>
        <v>00-010101</v>
      </c>
      <c r="I117" s="18" cm="1">
        <f t="array" ref="I117">HEX2DEC(Reverse(P117))</f>
        <v>93631153</v>
      </c>
      <c r="J117" s="18" cm="1">
        <f t="array" ref="J117">IF(Q117&lt;&gt;0, HEX2DEC(Reverse(Q117))-$I117,"")</f>
        <v>37</v>
      </c>
      <c r="K117" s="18" cm="1">
        <f t="array" ref="K117">IF(R117&lt;&gt;0, HEX2DEC(Reverse(R117))-$I117,"")</f>
        <v>17</v>
      </c>
      <c r="L117" s="18" cm="1">
        <f t="array" ref="L117">IF(S117&lt;&gt;0, HEX2DEC(Reverse(S117))-$I117,"")</f>
        <v>38</v>
      </c>
      <c r="M117" s="18" cm="1">
        <f t="array" ref="M117">IF(T117&lt;&gt;0, HEX2DEC(Reverse(T117))-$I117,"")</f>
        <v>18</v>
      </c>
      <c r="O117" s="3">
        <v>1010100</v>
      </c>
      <c r="P117" s="3" t="s">
        <v>114</v>
      </c>
      <c r="Q117" s="3" t="s">
        <v>941</v>
      </c>
      <c r="R117" s="19" t="s">
        <v>146</v>
      </c>
      <c r="S117" s="3" t="s">
        <v>944</v>
      </c>
      <c r="T117" s="3" t="s">
        <v>148</v>
      </c>
      <c r="U117" s="3" t="s">
        <v>945</v>
      </c>
      <c r="V117" s="4" t="s">
        <v>946</v>
      </c>
    </row>
    <row r="118" spans="1:22" x14ac:dyDescent="0.2">
      <c r="A118" s="16" t="s">
        <v>206</v>
      </c>
      <c r="B118" s="16">
        <v>2931</v>
      </c>
      <c r="C118" s="15" t="s">
        <v>2</v>
      </c>
      <c r="D118" s="15" t="s">
        <v>1</v>
      </c>
      <c r="E118" s="15" t="s">
        <v>92</v>
      </c>
      <c r="F118" s="15" t="s">
        <v>96</v>
      </c>
      <c r="G118" s="15"/>
      <c r="H118" s="17" t="str" cm="1">
        <f t="array" ref="H118">Reverse2_6(O118)</f>
        <v>00-010101</v>
      </c>
      <c r="I118" s="18" cm="1">
        <f t="array" ref="I118">HEX2DEC(Reverse(P118))</f>
        <v>93631153</v>
      </c>
      <c r="J118" s="18" cm="1">
        <f t="array" ref="J118">IF(Q118&lt;&gt;0, HEX2DEC(Reverse(Q118))-$I118,"")</f>
        <v>38</v>
      </c>
      <c r="K118" s="18" cm="1">
        <f t="array" ref="K118">IF(R118&lt;&gt;0, HEX2DEC(Reverse(R118))-$I118,"")</f>
        <v>17</v>
      </c>
      <c r="L118" s="18" cm="1">
        <f t="array" ref="L118">IF(S118&lt;&gt;0, HEX2DEC(Reverse(S118))-$I118,"")</f>
        <v>39</v>
      </c>
      <c r="M118" s="18" cm="1">
        <f t="array" ref="M118">IF(T118&lt;&gt;0, HEX2DEC(Reverse(T118))-$I118,"")</f>
        <v>18</v>
      </c>
      <c r="O118" s="3">
        <v>1010100</v>
      </c>
      <c r="P118" s="3" t="s">
        <v>114</v>
      </c>
      <c r="Q118" s="3" t="s">
        <v>944</v>
      </c>
      <c r="R118" s="19" t="s">
        <v>146</v>
      </c>
      <c r="S118" s="3" t="s">
        <v>947</v>
      </c>
      <c r="T118" s="3" t="s">
        <v>148</v>
      </c>
      <c r="U118" s="3" t="s">
        <v>948</v>
      </c>
      <c r="V118" s="4" t="s">
        <v>949</v>
      </c>
    </row>
    <row r="119" spans="1:22" x14ac:dyDescent="0.2">
      <c r="A119" s="16" t="s">
        <v>207</v>
      </c>
      <c r="B119" s="16">
        <v>2932</v>
      </c>
      <c r="C119" s="15" t="s">
        <v>2</v>
      </c>
      <c r="D119" s="15" t="s">
        <v>1</v>
      </c>
      <c r="E119" s="15" t="s">
        <v>92</v>
      </c>
      <c r="F119" s="15" t="s">
        <v>96</v>
      </c>
      <c r="G119" s="15"/>
      <c r="H119" s="17" t="str" cm="1">
        <f t="array" ref="H119">Reverse2_6(O119)</f>
        <v>00-010101</v>
      </c>
      <c r="I119" s="18" cm="1">
        <f t="array" ref="I119">HEX2DEC(Reverse(P119))</f>
        <v>93631153</v>
      </c>
      <c r="J119" s="18" cm="1">
        <f t="array" ref="J119">IF(Q119&lt;&gt;0, HEX2DEC(Reverse(Q119))-$I119,"")</f>
        <v>39</v>
      </c>
      <c r="K119" s="18" cm="1">
        <f t="array" ref="K119">IF(R119&lt;&gt;0, HEX2DEC(Reverse(R119))-$I119,"")</f>
        <v>17</v>
      </c>
      <c r="L119" s="18" cm="1">
        <f t="array" ref="L119">IF(S119&lt;&gt;0, HEX2DEC(Reverse(S119))-$I119,"")</f>
        <v>40</v>
      </c>
      <c r="M119" s="18" cm="1">
        <f t="array" ref="M119">IF(T119&lt;&gt;0, HEX2DEC(Reverse(T119))-$I119,"")</f>
        <v>18</v>
      </c>
      <c r="O119" s="3">
        <v>1010100</v>
      </c>
      <c r="P119" s="3" t="s">
        <v>114</v>
      </c>
      <c r="Q119" s="3" t="s">
        <v>947</v>
      </c>
      <c r="R119" s="19" t="s">
        <v>146</v>
      </c>
      <c r="S119" s="3" t="s">
        <v>950</v>
      </c>
      <c r="T119" s="3" t="s">
        <v>148</v>
      </c>
      <c r="U119" s="3" t="s">
        <v>951</v>
      </c>
      <c r="V119" s="4" t="s">
        <v>952</v>
      </c>
    </row>
    <row r="120" spans="1:22" x14ac:dyDescent="0.2">
      <c r="A120" s="16" t="s">
        <v>208</v>
      </c>
      <c r="B120" s="16">
        <v>2933</v>
      </c>
      <c r="C120" s="15" t="s">
        <v>2</v>
      </c>
      <c r="D120" s="15" t="s">
        <v>1</v>
      </c>
      <c r="E120" s="15" t="s">
        <v>92</v>
      </c>
      <c r="F120" s="15" t="s">
        <v>96</v>
      </c>
      <c r="G120" s="15"/>
      <c r="H120" s="17" t="str" cm="1">
        <f t="array" ref="H120">Reverse2_6(O120)</f>
        <v>00-010101</v>
      </c>
      <c r="I120" s="18" cm="1">
        <f t="array" ref="I120">HEX2DEC(Reverse(P120))</f>
        <v>93631153</v>
      </c>
      <c r="J120" s="18" cm="1">
        <f t="array" ref="J120">IF(Q120&lt;&gt;0, HEX2DEC(Reverse(Q120))-$I120,"")</f>
        <v>40</v>
      </c>
      <c r="K120" s="18" cm="1">
        <f t="array" ref="K120">IF(R120&lt;&gt;0, HEX2DEC(Reverse(R120))-$I120,"")</f>
        <v>17</v>
      </c>
      <c r="L120" s="18" cm="1">
        <f t="array" ref="L120">IF(S120&lt;&gt;0, HEX2DEC(Reverse(S120))-$I120,"")</f>
        <v>41</v>
      </c>
      <c r="M120" s="18" cm="1">
        <f t="array" ref="M120">IF(T120&lt;&gt;0, HEX2DEC(Reverse(T120))-$I120,"")</f>
        <v>18</v>
      </c>
      <c r="O120" s="3">
        <v>1010100</v>
      </c>
      <c r="P120" s="3" t="s">
        <v>114</v>
      </c>
      <c r="Q120" s="3" t="s">
        <v>950</v>
      </c>
      <c r="R120" s="19" t="s">
        <v>146</v>
      </c>
      <c r="S120" s="3" t="s">
        <v>953</v>
      </c>
      <c r="T120" s="3" t="s">
        <v>148</v>
      </c>
      <c r="U120" s="3" t="s">
        <v>954</v>
      </c>
      <c r="V120" s="4" t="s">
        <v>955</v>
      </c>
    </row>
    <row r="121" spans="1:22" x14ac:dyDescent="0.2">
      <c r="A121" s="16" t="s">
        <v>209</v>
      </c>
      <c r="B121" s="16">
        <v>2934</v>
      </c>
      <c r="C121" s="15" t="s">
        <v>2</v>
      </c>
      <c r="D121" s="15" t="s">
        <v>1</v>
      </c>
      <c r="E121" s="15" t="s">
        <v>92</v>
      </c>
      <c r="F121" s="15" t="s">
        <v>96</v>
      </c>
      <c r="G121" s="15"/>
      <c r="H121" s="17" t="str" cm="1">
        <f t="array" ref="H121">Reverse2_6(O121)</f>
        <v>00-010101</v>
      </c>
      <c r="I121" s="18" cm="1">
        <f t="array" ref="I121">HEX2DEC(Reverse(P121))</f>
        <v>93631153</v>
      </c>
      <c r="J121" s="18" cm="1">
        <f t="array" ref="J121">IF(Q121&lt;&gt;0, HEX2DEC(Reverse(Q121))-$I121,"")</f>
        <v>41</v>
      </c>
      <c r="K121" s="18" cm="1">
        <f t="array" ref="K121">IF(R121&lt;&gt;0, HEX2DEC(Reverse(R121))-$I121,"")</f>
        <v>17</v>
      </c>
      <c r="L121" s="18" cm="1">
        <f t="array" ref="L121">IF(S121&lt;&gt;0, HEX2DEC(Reverse(S121))-$I121,"")</f>
        <v>42</v>
      </c>
      <c r="M121" s="18" cm="1">
        <f t="array" ref="M121">IF(T121&lt;&gt;0, HEX2DEC(Reverse(T121))-$I121,"")</f>
        <v>18</v>
      </c>
      <c r="O121" s="3">
        <v>1010100</v>
      </c>
      <c r="P121" s="3" t="s">
        <v>114</v>
      </c>
      <c r="Q121" s="3" t="s">
        <v>953</v>
      </c>
      <c r="R121" s="19" t="s">
        <v>146</v>
      </c>
      <c r="S121" s="3" t="s">
        <v>956</v>
      </c>
      <c r="T121" s="3" t="s">
        <v>148</v>
      </c>
      <c r="U121" s="3" t="s">
        <v>957</v>
      </c>
      <c r="V121" s="4" t="s">
        <v>958</v>
      </c>
    </row>
    <row r="122" spans="1:22" x14ac:dyDescent="0.2">
      <c r="A122" s="16" t="s">
        <v>210</v>
      </c>
      <c r="B122" s="16">
        <v>2935</v>
      </c>
      <c r="C122" s="15" t="s">
        <v>2</v>
      </c>
      <c r="D122" s="15" t="s">
        <v>1</v>
      </c>
      <c r="E122" s="15" t="s">
        <v>92</v>
      </c>
      <c r="F122" s="15" t="s">
        <v>96</v>
      </c>
      <c r="G122" s="15"/>
      <c r="H122" s="17" t="str" cm="1">
        <f t="array" ref="H122">Reverse2_6(O122)</f>
        <v>00-010101</v>
      </c>
      <c r="I122" s="18" cm="1">
        <f t="array" ref="I122">HEX2DEC(Reverse(P122))</f>
        <v>93631153</v>
      </c>
      <c r="J122" s="18" cm="1">
        <f t="array" ref="J122">IF(Q122&lt;&gt;0, HEX2DEC(Reverse(Q122))-$I122,"")</f>
        <v>42</v>
      </c>
      <c r="K122" s="18" cm="1">
        <f t="array" ref="K122">IF(R122&lt;&gt;0, HEX2DEC(Reverse(R122))-$I122,"")</f>
        <v>17</v>
      </c>
      <c r="L122" s="18" cm="1">
        <f t="array" ref="L122">IF(S122&lt;&gt;0, HEX2DEC(Reverse(S122))-$I122,"")</f>
        <v>43</v>
      </c>
      <c r="M122" s="18" cm="1">
        <f t="array" ref="M122">IF(T122&lt;&gt;0, HEX2DEC(Reverse(T122))-$I122,"")</f>
        <v>18</v>
      </c>
      <c r="O122" s="3">
        <v>1010100</v>
      </c>
      <c r="P122" s="3" t="s">
        <v>114</v>
      </c>
      <c r="Q122" s="3" t="s">
        <v>956</v>
      </c>
      <c r="R122" s="19" t="s">
        <v>146</v>
      </c>
      <c r="S122" s="3" t="s">
        <v>959</v>
      </c>
      <c r="T122" s="3" t="s">
        <v>148</v>
      </c>
      <c r="U122" s="3" t="s">
        <v>960</v>
      </c>
      <c r="V122" s="4" t="s">
        <v>961</v>
      </c>
    </row>
    <row r="123" spans="1:22" x14ac:dyDescent="0.2">
      <c r="A123" s="16" t="s">
        <v>211</v>
      </c>
      <c r="B123" s="16">
        <v>2936</v>
      </c>
      <c r="C123" s="15" t="s">
        <v>2</v>
      </c>
      <c r="D123" s="15" t="s">
        <v>1</v>
      </c>
      <c r="E123" s="15" t="s">
        <v>92</v>
      </c>
      <c r="F123" s="15" t="s">
        <v>96</v>
      </c>
      <c r="G123" s="15"/>
      <c r="H123" s="17" t="str" cm="1">
        <f t="array" ref="H123">Reverse2_6(O123)</f>
        <v>00-010101</v>
      </c>
      <c r="I123" s="18" cm="1">
        <f t="array" ref="I123">HEX2DEC(Reverse(P123))</f>
        <v>93631153</v>
      </c>
      <c r="J123" s="18" cm="1">
        <f t="array" ref="J123">IF(Q123&lt;&gt;0, HEX2DEC(Reverse(Q123))-$I123,"")</f>
        <v>43</v>
      </c>
      <c r="K123" s="18" cm="1">
        <f t="array" ref="K123">IF(R123&lt;&gt;0, HEX2DEC(Reverse(R123))-$I123,"")</f>
        <v>17</v>
      </c>
      <c r="L123" s="18" cm="1">
        <f t="array" ref="L123">IF(S123&lt;&gt;0, HEX2DEC(Reverse(S123))-$I123,"")</f>
        <v>44</v>
      </c>
      <c r="M123" s="18" cm="1">
        <f t="array" ref="M123">IF(T123&lt;&gt;0, HEX2DEC(Reverse(T123))-$I123,"")</f>
        <v>18</v>
      </c>
      <c r="O123" s="3">
        <v>1010100</v>
      </c>
      <c r="P123" s="3" t="s">
        <v>114</v>
      </c>
      <c r="Q123" s="3" t="s">
        <v>959</v>
      </c>
      <c r="R123" s="19" t="s">
        <v>146</v>
      </c>
      <c r="S123" s="3" t="s">
        <v>962</v>
      </c>
      <c r="T123" s="3" t="s">
        <v>148</v>
      </c>
      <c r="U123" s="3">
        <v>5664209</v>
      </c>
      <c r="V123" s="4" t="s">
        <v>963</v>
      </c>
    </row>
    <row r="124" spans="1:22" x14ac:dyDescent="0.2">
      <c r="A124" s="16" t="s">
        <v>212</v>
      </c>
      <c r="B124" s="16">
        <v>2937</v>
      </c>
      <c r="C124" s="15" t="s">
        <v>2</v>
      </c>
      <c r="D124" s="15" t="s">
        <v>1</v>
      </c>
      <c r="E124" s="15" t="s">
        <v>92</v>
      </c>
      <c r="F124" s="15" t="s">
        <v>96</v>
      </c>
      <c r="G124" s="15"/>
      <c r="H124" s="17" t="str" cm="1">
        <f t="array" ref="H124">Reverse2_6(O124)</f>
        <v>00-010101</v>
      </c>
      <c r="I124" s="18" cm="1">
        <f t="array" ref="I124">HEX2DEC(Reverse(P124))</f>
        <v>93631153</v>
      </c>
      <c r="J124" s="18" cm="1">
        <f t="array" ref="J124">IF(Q124&lt;&gt;0, HEX2DEC(Reverse(Q124))-$I124,"")</f>
        <v>44</v>
      </c>
      <c r="K124" s="18" cm="1">
        <f t="array" ref="K124">IF(R124&lt;&gt;0, HEX2DEC(Reverse(R124))-$I124,"")</f>
        <v>17</v>
      </c>
      <c r="L124" s="18" cm="1">
        <f t="array" ref="L124">IF(S124&lt;&gt;0, HEX2DEC(Reverse(S124))-$I124,"")</f>
        <v>45</v>
      </c>
      <c r="M124" s="18" cm="1">
        <f t="array" ref="M124">IF(T124&lt;&gt;0, HEX2DEC(Reverse(T124))-$I124,"")</f>
        <v>18</v>
      </c>
      <c r="O124" s="3">
        <v>1010100</v>
      </c>
      <c r="P124" s="3" t="s">
        <v>114</v>
      </c>
      <c r="Q124" s="3" t="s">
        <v>962</v>
      </c>
      <c r="R124" s="19" t="s">
        <v>146</v>
      </c>
      <c r="S124" s="3" t="s">
        <v>964</v>
      </c>
      <c r="T124" s="3" t="s">
        <v>148</v>
      </c>
      <c r="U124" s="3" t="s">
        <v>965</v>
      </c>
      <c r="V124" s="4" t="s">
        <v>966</v>
      </c>
    </row>
    <row r="125" spans="1:22" x14ac:dyDescent="0.2">
      <c r="A125" s="20" t="s">
        <v>213</v>
      </c>
      <c r="B125" s="20">
        <v>2938</v>
      </c>
      <c r="C125" s="21" t="s">
        <v>1</v>
      </c>
      <c r="D125" s="21" t="s">
        <v>2</v>
      </c>
      <c r="E125" s="21" t="s">
        <v>90</v>
      </c>
      <c r="F125" s="21" t="s">
        <v>94</v>
      </c>
      <c r="G125" s="21" t="s">
        <v>1778</v>
      </c>
      <c r="H125" s="22" t="str" cm="1">
        <f t="array" ref="H125">Reverse2_6(O125)</f>
        <v>00-010201</v>
      </c>
      <c r="I125" s="45" cm="1">
        <f t="array" ref="I125">HEX2DEC(Reverse(P125))</f>
        <v>93631153</v>
      </c>
      <c r="J125" s="45" cm="1">
        <f t="array" ref="J125">IF(Q125&lt;&gt;0, HEX2DEC(Reverse(Q125))-$I125,"")</f>
        <v>17</v>
      </c>
      <c r="K125" s="45" cm="1">
        <f t="array" ref="K125">IF(R125&lt;&gt;0, HEX2DEC(Reverse(R125))-$I125,"")</f>
        <v>35</v>
      </c>
      <c r="L125" s="45" t="str" cm="1">
        <f t="array" ref="L125">IF(S125&lt;&gt;0, HEX2DEC(Reverse(S125))-$I125,"")</f>
        <v/>
      </c>
      <c r="M125" s="45" cm="1">
        <f t="array" ref="M125">IF(T125&lt;&gt;0, HEX2DEC(Reverse(T125))-$I125,"")</f>
        <v>36</v>
      </c>
      <c r="O125" s="3">
        <v>1020100</v>
      </c>
      <c r="P125" s="3" t="s">
        <v>114</v>
      </c>
      <c r="Q125" s="3" t="s">
        <v>146</v>
      </c>
      <c r="R125" s="3" t="s">
        <v>936</v>
      </c>
      <c r="S125" s="3">
        <v>0</v>
      </c>
      <c r="T125" s="3" t="s">
        <v>938</v>
      </c>
      <c r="U125" s="3"/>
      <c r="V125" s="4"/>
    </row>
    <row r="126" spans="1:22" x14ac:dyDescent="0.2">
      <c r="A126" s="20" t="s">
        <v>214</v>
      </c>
      <c r="B126" s="20">
        <v>2939</v>
      </c>
      <c r="C126" s="21" t="s">
        <v>1</v>
      </c>
      <c r="D126" s="21" t="s">
        <v>2</v>
      </c>
      <c r="E126" s="21" t="s">
        <v>90</v>
      </c>
      <c r="F126" s="21" t="s">
        <v>94</v>
      </c>
      <c r="G126" s="21" t="s">
        <v>1778</v>
      </c>
      <c r="H126" s="22" t="str" cm="1">
        <f t="array" ref="H126">Reverse2_6(O126)</f>
        <v>00-010201</v>
      </c>
      <c r="I126" s="45" cm="1">
        <f t="array" ref="I126">HEX2DEC(Reverse(P126))</f>
        <v>93631153</v>
      </c>
      <c r="J126" s="45" cm="1">
        <f t="array" ref="J126">IF(Q126&lt;&gt;0, HEX2DEC(Reverse(Q126))-$I126,"")</f>
        <v>17</v>
      </c>
      <c r="K126" s="45" cm="1">
        <f t="array" ref="K126">IF(R126&lt;&gt;0, HEX2DEC(Reverse(R126))-$I126,"")</f>
        <v>36</v>
      </c>
      <c r="L126" s="45" t="str" cm="1">
        <f t="array" ref="L126">IF(S126&lt;&gt;0, HEX2DEC(Reverse(S126))-$I126,"")</f>
        <v/>
      </c>
      <c r="M126" s="45" cm="1">
        <f t="array" ref="M126">IF(T126&lt;&gt;0, HEX2DEC(Reverse(T126))-$I126,"")</f>
        <v>37</v>
      </c>
      <c r="O126" s="3">
        <v>1020100</v>
      </c>
      <c r="P126" s="3" t="s">
        <v>114</v>
      </c>
      <c r="Q126" s="3" t="s">
        <v>146</v>
      </c>
      <c r="R126" s="3" t="s">
        <v>938</v>
      </c>
      <c r="S126" s="3">
        <v>0</v>
      </c>
      <c r="T126" s="3" t="s">
        <v>941</v>
      </c>
      <c r="U126" s="3"/>
      <c r="V126" s="4"/>
    </row>
    <row r="127" spans="1:22" x14ac:dyDescent="0.2">
      <c r="A127" s="20" t="s">
        <v>215</v>
      </c>
      <c r="B127" s="20">
        <v>2940</v>
      </c>
      <c r="C127" s="21" t="s">
        <v>1</v>
      </c>
      <c r="D127" s="21" t="s">
        <v>2</v>
      </c>
      <c r="E127" s="21" t="s">
        <v>90</v>
      </c>
      <c r="F127" s="21" t="s">
        <v>94</v>
      </c>
      <c r="G127" s="21" t="s">
        <v>1778</v>
      </c>
      <c r="H127" s="22" t="str" cm="1">
        <f t="array" ref="H127">Reverse2_6(O127)</f>
        <v>00-010201</v>
      </c>
      <c r="I127" s="45" cm="1">
        <f t="array" ref="I127">HEX2DEC(Reverse(P127))</f>
        <v>93631153</v>
      </c>
      <c r="J127" s="45" cm="1">
        <f t="array" ref="J127">IF(Q127&lt;&gt;0, HEX2DEC(Reverse(Q127))-$I127,"")</f>
        <v>17</v>
      </c>
      <c r="K127" s="45" cm="1">
        <f t="array" ref="K127">IF(R127&lt;&gt;0, HEX2DEC(Reverse(R127))-$I127,"")</f>
        <v>37</v>
      </c>
      <c r="L127" s="45" t="str" cm="1">
        <f t="array" ref="L127">IF(S127&lt;&gt;0, HEX2DEC(Reverse(S127))-$I127,"")</f>
        <v/>
      </c>
      <c r="M127" s="45" cm="1">
        <f t="array" ref="M127">IF(T127&lt;&gt;0, HEX2DEC(Reverse(T127))-$I127,"")</f>
        <v>38</v>
      </c>
      <c r="O127" s="3">
        <v>1020100</v>
      </c>
      <c r="P127" s="3" t="s">
        <v>114</v>
      </c>
      <c r="Q127" s="3" t="s">
        <v>146</v>
      </c>
      <c r="R127" s="3" t="s">
        <v>941</v>
      </c>
      <c r="S127" s="3">
        <v>0</v>
      </c>
      <c r="T127" s="3" t="s">
        <v>944</v>
      </c>
      <c r="U127" s="3"/>
      <c r="V127" s="4"/>
    </row>
    <row r="128" spans="1:22" x14ac:dyDescent="0.2">
      <c r="A128" s="20" t="s">
        <v>216</v>
      </c>
      <c r="B128" s="20">
        <v>2941</v>
      </c>
      <c r="C128" s="21" t="s">
        <v>1</v>
      </c>
      <c r="D128" s="21" t="s">
        <v>2</v>
      </c>
      <c r="E128" s="21" t="s">
        <v>90</v>
      </c>
      <c r="F128" s="21" t="s">
        <v>94</v>
      </c>
      <c r="G128" s="21" t="s">
        <v>1778</v>
      </c>
      <c r="H128" s="22" t="str" cm="1">
        <f t="array" ref="H128">Reverse2_6(O128)</f>
        <v>00-010201</v>
      </c>
      <c r="I128" s="45" cm="1">
        <f t="array" ref="I128">HEX2DEC(Reverse(P128))</f>
        <v>93631153</v>
      </c>
      <c r="J128" s="45" cm="1">
        <f t="array" ref="J128">IF(Q128&lt;&gt;0, HEX2DEC(Reverse(Q128))-$I128,"")</f>
        <v>17</v>
      </c>
      <c r="K128" s="45" cm="1">
        <f t="array" ref="K128">IF(R128&lt;&gt;0, HEX2DEC(Reverse(R128))-$I128,"")</f>
        <v>38</v>
      </c>
      <c r="L128" s="45" t="str" cm="1">
        <f t="array" ref="L128">IF(S128&lt;&gt;0, HEX2DEC(Reverse(S128))-$I128,"")</f>
        <v/>
      </c>
      <c r="M128" s="45" cm="1">
        <f t="array" ref="M128">IF(T128&lt;&gt;0, HEX2DEC(Reverse(T128))-$I128,"")</f>
        <v>39</v>
      </c>
      <c r="O128" s="3">
        <v>1020100</v>
      </c>
      <c r="P128" s="3" t="s">
        <v>114</v>
      </c>
      <c r="Q128" s="3" t="s">
        <v>146</v>
      </c>
      <c r="R128" s="3" t="s">
        <v>944</v>
      </c>
      <c r="S128" s="3">
        <v>0</v>
      </c>
      <c r="T128" s="3" t="s">
        <v>947</v>
      </c>
      <c r="U128" s="3"/>
      <c r="V128" s="4"/>
    </row>
    <row r="129" spans="1:22" x14ac:dyDescent="0.2">
      <c r="A129" s="20" t="s">
        <v>217</v>
      </c>
      <c r="B129" s="20">
        <v>2942</v>
      </c>
      <c r="C129" s="21" t="s">
        <v>1</v>
      </c>
      <c r="D129" s="21" t="s">
        <v>2</v>
      </c>
      <c r="E129" s="21" t="s">
        <v>90</v>
      </c>
      <c r="F129" s="21" t="s">
        <v>94</v>
      </c>
      <c r="G129" s="21" t="s">
        <v>1778</v>
      </c>
      <c r="H129" s="22" t="str" cm="1">
        <f t="array" ref="H129">Reverse2_6(O129)</f>
        <v>00-010201</v>
      </c>
      <c r="I129" s="45" cm="1">
        <f t="array" ref="I129">HEX2DEC(Reverse(P129))</f>
        <v>93631153</v>
      </c>
      <c r="J129" s="45" cm="1">
        <f t="array" ref="J129">IF(Q129&lt;&gt;0, HEX2DEC(Reverse(Q129))-$I129,"")</f>
        <v>17</v>
      </c>
      <c r="K129" s="45" cm="1">
        <f t="array" ref="K129">IF(R129&lt;&gt;0, HEX2DEC(Reverse(R129))-$I129,"")</f>
        <v>39</v>
      </c>
      <c r="L129" s="45" t="str" cm="1">
        <f t="array" ref="L129">IF(S129&lt;&gt;0, HEX2DEC(Reverse(S129))-$I129,"")</f>
        <v/>
      </c>
      <c r="M129" s="45" cm="1">
        <f t="array" ref="M129">IF(T129&lt;&gt;0, HEX2DEC(Reverse(T129))-$I129,"")</f>
        <v>40</v>
      </c>
      <c r="O129" s="3">
        <v>1020100</v>
      </c>
      <c r="P129" s="3" t="s">
        <v>114</v>
      </c>
      <c r="Q129" s="3" t="s">
        <v>146</v>
      </c>
      <c r="R129" s="3" t="s">
        <v>947</v>
      </c>
      <c r="S129" s="3">
        <v>0</v>
      </c>
      <c r="T129" s="3" t="s">
        <v>950</v>
      </c>
      <c r="U129" s="3"/>
      <c r="V129" s="4"/>
    </row>
    <row r="130" spans="1:22" x14ac:dyDescent="0.2">
      <c r="A130" s="20" t="s">
        <v>218</v>
      </c>
      <c r="B130" s="20">
        <v>2943</v>
      </c>
      <c r="C130" s="21" t="s">
        <v>1</v>
      </c>
      <c r="D130" s="21" t="s">
        <v>2</v>
      </c>
      <c r="E130" s="21" t="s">
        <v>90</v>
      </c>
      <c r="F130" s="21" t="s">
        <v>94</v>
      </c>
      <c r="G130" s="21" t="s">
        <v>1778</v>
      </c>
      <c r="H130" s="22" t="str" cm="1">
        <f t="array" ref="H130">Reverse2_6(O130)</f>
        <v>00-010201</v>
      </c>
      <c r="I130" s="45" cm="1">
        <f t="array" ref="I130">HEX2DEC(Reverse(P130))</f>
        <v>93631153</v>
      </c>
      <c r="J130" s="45" cm="1">
        <f t="array" ref="J130">IF(Q130&lt;&gt;0, HEX2DEC(Reverse(Q130))-$I130,"")</f>
        <v>17</v>
      </c>
      <c r="K130" s="45" cm="1">
        <f t="array" ref="K130">IF(R130&lt;&gt;0, HEX2DEC(Reverse(R130))-$I130,"")</f>
        <v>40</v>
      </c>
      <c r="L130" s="45" t="str" cm="1">
        <f t="array" ref="L130">IF(S130&lt;&gt;0, HEX2DEC(Reverse(S130))-$I130,"")</f>
        <v/>
      </c>
      <c r="M130" s="45" cm="1">
        <f t="array" ref="M130">IF(T130&lt;&gt;0, HEX2DEC(Reverse(T130))-$I130,"")</f>
        <v>41</v>
      </c>
      <c r="O130" s="3">
        <v>1020100</v>
      </c>
      <c r="P130" s="3" t="s">
        <v>114</v>
      </c>
      <c r="Q130" s="3" t="s">
        <v>146</v>
      </c>
      <c r="R130" s="3" t="s">
        <v>950</v>
      </c>
      <c r="S130" s="3">
        <v>0</v>
      </c>
      <c r="T130" s="3" t="s">
        <v>953</v>
      </c>
      <c r="U130" s="3"/>
      <c r="V130" s="4"/>
    </row>
    <row r="131" spans="1:22" x14ac:dyDescent="0.2">
      <c r="A131" s="20" t="s">
        <v>219</v>
      </c>
      <c r="B131" s="20">
        <v>2944</v>
      </c>
      <c r="C131" s="21" t="s">
        <v>1</v>
      </c>
      <c r="D131" s="21" t="s">
        <v>2</v>
      </c>
      <c r="E131" s="21" t="s">
        <v>90</v>
      </c>
      <c r="F131" s="21" t="s">
        <v>94</v>
      </c>
      <c r="G131" s="21" t="s">
        <v>1778</v>
      </c>
      <c r="H131" s="22" t="str" cm="1">
        <f t="array" ref="H131">Reverse2_6(O131)</f>
        <v>00-010201</v>
      </c>
      <c r="I131" s="45" cm="1">
        <f t="array" ref="I131">HEX2DEC(Reverse(P131))</f>
        <v>93631153</v>
      </c>
      <c r="J131" s="45" cm="1">
        <f t="array" ref="J131">IF(Q131&lt;&gt;0, HEX2DEC(Reverse(Q131))-$I131,"")</f>
        <v>17</v>
      </c>
      <c r="K131" s="45" cm="1">
        <f t="array" ref="K131">IF(R131&lt;&gt;0, HEX2DEC(Reverse(R131))-$I131,"")</f>
        <v>41</v>
      </c>
      <c r="L131" s="45" t="str" cm="1">
        <f t="array" ref="L131">IF(S131&lt;&gt;0, HEX2DEC(Reverse(S131))-$I131,"")</f>
        <v/>
      </c>
      <c r="M131" s="45" cm="1">
        <f t="array" ref="M131">IF(T131&lt;&gt;0, HEX2DEC(Reverse(T131))-$I131,"")</f>
        <v>42</v>
      </c>
      <c r="O131" s="3">
        <v>1020100</v>
      </c>
      <c r="P131" s="3" t="s">
        <v>114</v>
      </c>
      <c r="Q131" s="3" t="s">
        <v>146</v>
      </c>
      <c r="R131" s="3" t="s">
        <v>953</v>
      </c>
      <c r="S131" s="3">
        <v>0</v>
      </c>
      <c r="T131" s="3" t="s">
        <v>956</v>
      </c>
      <c r="U131" s="3"/>
      <c r="V131" s="4"/>
    </row>
    <row r="132" spans="1:22" x14ac:dyDescent="0.2">
      <c r="A132" s="20" t="s">
        <v>220</v>
      </c>
      <c r="B132" s="20">
        <v>2945</v>
      </c>
      <c r="C132" s="21" t="s">
        <v>1</v>
      </c>
      <c r="D132" s="21" t="s">
        <v>2</v>
      </c>
      <c r="E132" s="21" t="s">
        <v>90</v>
      </c>
      <c r="F132" s="21" t="s">
        <v>94</v>
      </c>
      <c r="G132" s="21" t="s">
        <v>1778</v>
      </c>
      <c r="H132" s="22" t="str" cm="1">
        <f t="array" ref="H132">Reverse2_6(O132)</f>
        <v>00-010201</v>
      </c>
      <c r="I132" s="45" cm="1">
        <f t="array" ref="I132">HEX2DEC(Reverse(P132))</f>
        <v>93631153</v>
      </c>
      <c r="J132" s="45" cm="1">
        <f t="array" ref="J132">IF(Q132&lt;&gt;0, HEX2DEC(Reverse(Q132))-$I132,"")</f>
        <v>17</v>
      </c>
      <c r="K132" s="45" cm="1">
        <f t="array" ref="K132">IF(R132&lt;&gt;0, HEX2DEC(Reverse(R132))-$I132,"")</f>
        <v>42</v>
      </c>
      <c r="L132" s="45" t="str" cm="1">
        <f t="array" ref="L132">IF(S132&lt;&gt;0, HEX2DEC(Reverse(S132))-$I132,"")</f>
        <v/>
      </c>
      <c r="M132" s="45" cm="1">
        <f t="array" ref="M132">IF(T132&lt;&gt;0, HEX2DEC(Reverse(T132))-$I132,"")</f>
        <v>43</v>
      </c>
      <c r="O132" s="3">
        <v>1020100</v>
      </c>
      <c r="P132" s="3" t="s">
        <v>114</v>
      </c>
      <c r="Q132" s="3" t="s">
        <v>146</v>
      </c>
      <c r="R132" s="3" t="s">
        <v>956</v>
      </c>
      <c r="S132" s="3">
        <v>0</v>
      </c>
      <c r="T132" s="3" t="s">
        <v>959</v>
      </c>
      <c r="U132" s="3"/>
      <c r="V132" s="4"/>
    </row>
    <row r="133" spans="1:22" x14ac:dyDescent="0.2">
      <c r="A133" s="20" t="s">
        <v>221</v>
      </c>
      <c r="B133" s="20">
        <v>2946</v>
      </c>
      <c r="C133" s="21" t="s">
        <v>1</v>
      </c>
      <c r="D133" s="21" t="s">
        <v>2</v>
      </c>
      <c r="E133" s="21" t="s">
        <v>90</v>
      </c>
      <c r="F133" s="21" t="s">
        <v>94</v>
      </c>
      <c r="G133" s="21" t="s">
        <v>1778</v>
      </c>
      <c r="H133" s="22" t="str" cm="1">
        <f t="array" ref="H133">Reverse2_6(O133)</f>
        <v>00-010201</v>
      </c>
      <c r="I133" s="45" cm="1">
        <f t="array" ref="I133">HEX2DEC(Reverse(P133))</f>
        <v>93631153</v>
      </c>
      <c r="J133" s="45" cm="1">
        <f t="array" ref="J133">IF(Q133&lt;&gt;0, HEX2DEC(Reverse(Q133))-$I133,"")</f>
        <v>17</v>
      </c>
      <c r="K133" s="45" cm="1">
        <f t="array" ref="K133">IF(R133&lt;&gt;0, HEX2DEC(Reverse(R133))-$I133,"")</f>
        <v>43</v>
      </c>
      <c r="L133" s="45" t="str" cm="1">
        <f t="array" ref="L133">IF(S133&lt;&gt;0, HEX2DEC(Reverse(S133))-$I133,"")</f>
        <v/>
      </c>
      <c r="M133" s="45" cm="1">
        <f t="array" ref="M133">IF(T133&lt;&gt;0, HEX2DEC(Reverse(T133))-$I133,"")</f>
        <v>44</v>
      </c>
      <c r="O133" s="3">
        <v>1020100</v>
      </c>
      <c r="P133" s="3" t="s">
        <v>114</v>
      </c>
      <c r="Q133" s="3" t="s">
        <v>146</v>
      </c>
      <c r="R133" s="3" t="s">
        <v>959</v>
      </c>
      <c r="S133" s="3">
        <v>0</v>
      </c>
      <c r="T133" s="3" t="s">
        <v>962</v>
      </c>
      <c r="U133" s="3"/>
      <c r="V133" s="4"/>
    </row>
    <row r="134" spans="1:22" x14ac:dyDescent="0.2">
      <c r="A134" s="20" t="s">
        <v>222</v>
      </c>
      <c r="B134" s="20">
        <v>2947</v>
      </c>
      <c r="C134" s="21" t="s">
        <v>1</v>
      </c>
      <c r="D134" s="21" t="s">
        <v>2</v>
      </c>
      <c r="E134" s="21" t="s">
        <v>90</v>
      </c>
      <c r="F134" s="21" t="s">
        <v>94</v>
      </c>
      <c r="G134" s="21" t="s">
        <v>1778</v>
      </c>
      <c r="H134" s="22" t="str" cm="1">
        <f t="array" ref="H134">Reverse2_6(O134)</f>
        <v>00-010201</v>
      </c>
      <c r="I134" s="45" cm="1">
        <f t="array" ref="I134">HEX2DEC(Reverse(P134))</f>
        <v>93631153</v>
      </c>
      <c r="J134" s="45" cm="1">
        <f t="array" ref="J134">IF(Q134&lt;&gt;0, HEX2DEC(Reverse(Q134))-$I134,"")</f>
        <v>17</v>
      </c>
      <c r="K134" s="45" cm="1">
        <f t="array" ref="K134">IF(R134&lt;&gt;0, HEX2DEC(Reverse(R134))-$I134,"")</f>
        <v>44</v>
      </c>
      <c r="L134" s="45" t="str" cm="1">
        <f t="array" ref="L134">IF(S134&lt;&gt;0, HEX2DEC(Reverse(S134))-$I134,"")</f>
        <v/>
      </c>
      <c r="M134" s="45" cm="1">
        <f t="array" ref="M134">IF(T134&lt;&gt;0, HEX2DEC(Reverse(T134))-$I134,"")</f>
        <v>45</v>
      </c>
      <c r="O134" s="3">
        <v>1020100</v>
      </c>
      <c r="P134" s="3" t="s">
        <v>114</v>
      </c>
      <c r="Q134" s="3" t="s">
        <v>146</v>
      </c>
      <c r="R134" s="3" t="s">
        <v>962</v>
      </c>
      <c r="S134" s="3">
        <v>0</v>
      </c>
      <c r="T134" s="3" t="s">
        <v>964</v>
      </c>
      <c r="U134" s="3"/>
      <c r="V134" s="4"/>
    </row>
    <row r="135" spans="1:22" x14ac:dyDescent="0.2">
      <c r="A135" s="16" t="s">
        <v>223</v>
      </c>
      <c r="B135" s="16">
        <v>2948</v>
      </c>
      <c r="C135" s="15" t="s">
        <v>2</v>
      </c>
      <c r="D135" s="15" t="s">
        <v>1</v>
      </c>
      <c r="E135" s="15" t="s">
        <v>92</v>
      </c>
      <c r="F135" s="15" t="s">
        <v>96</v>
      </c>
      <c r="G135" s="15"/>
      <c r="H135" s="17" t="str" cm="1">
        <f t="array" ref="H135">Reverse2_6(O135)</f>
        <v>00-010101</v>
      </c>
      <c r="I135" s="18" cm="1">
        <f t="array" ref="I135">HEX2DEC(Reverse(P135))</f>
        <v>93631153</v>
      </c>
      <c r="J135" s="18" cm="1">
        <f t="array" ref="J135">IF(Q135&lt;&gt;0, HEX2DEC(Reverse(Q135))-$I135,"")</f>
        <v>45</v>
      </c>
      <c r="K135" s="18" cm="1">
        <f t="array" ref="K135">IF(R135&lt;&gt;0, HEX2DEC(Reverse(R135))-$I135,"")</f>
        <v>17</v>
      </c>
      <c r="L135" s="18" cm="1">
        <f t="array" ref="L135">IF(S135&lt;&gt;0, HEX2DEC(Reverse(S135))-$I135,"")</f>
        <v>46</v>
      </c>
      <c r="M135" s="18" cm="1">
        <f t="array" ref="M135">IF(T135&lt;&gt;0, HEX2DEC(Reverse(T135))-$I135,"")</f>
        <v>18</v>
      </c>
      <c r="O135" s="3">
        <v>1010100</v>
      </c>
      <c r="P135" s="3" t="s">
        <v>114</v>
      </c>
      <c r="Q135" s="3" t="s">
        <v>964</v>
      </c>
      <c r="R135" s="19" t="s">
        <v>146</v>
      </c>
      <c r="S135" s="3" t="s">
        <v>967</v>
      </c>
      <c r="T135" s="3" t="s">
        <v>148</v>
      </c>
      <c r="U135" s="3" t="s">
        <v>968</v>
      </c>
      <c r="V135" s="4" t="s">
        <v>969</v>
      </c>
    </row>
    <row r="136" spans="1:22" x14ac:dyDescent="0.2">
      <c r="A136" s="20" t="s">
        <v>224</v>
      </c>
      <c r="B136" s="20">
        <v>2949</v>
      </c>
      <c r="C136" s="21" t="s">
        <v>1</v>
      </c>
      <c r="D136" s="21" t="s">
        <v>2</v>
      </c>
      <c r="E136" s="21" t="s">
        <v>90</v>
      </c>
      <c r="F136" s="21" t="s">
        <v>94</v>
      </c>
      <c r="G136" s="21" t="s">
        <v>1778</v>
      </c>
      <c r="H136" s="22" t="str" cm="1">
        <f t="array" ref="H136">Reverse2_6(O136)</f>
        <v>00-010201</v>
      </c>
      <c r="I136" s="45" cm="1">
        <f t="array" ref="I136">HEX2DEC(Reverse(P136))</f>
        <v>93631153</v>
      </c>
      <c r="J136" s="45" cm="1">
        <f t="array" ref="J136">IF(Q136&lt;&gt;0, HEX2DEC(Reverse(Q136))-$I136,"")</f>
        <v>17</v>
      </c>
      <c r="K136" s="45" cm="1">
        <f t="array" ref="K136">IF(R136&lt;&gt;0, HEX2DEC(Reverse(R136))-$I136,"")</f>
        <v>45</v>
      </c>
      <c r="L136" s="45" t="str" cm="1">
        <f t="array" ref="L136">IF(S136&lt;&gt;0, HEX2DEC(Reverse(S136))-$I136,"")</f>
        <v/>
      </c>
      <c r="M136" s="45" cm="1">
        <f t="array" ref="M136">IF(T136&lt;&gt;0, HEX2DEC(Reverse(T136))-$I136,"")</f>
        <v>46</v>
      </c>
      <c r="O136" s="3">
        <v>1020100</v>
      </c>
      <c r="P136" s="3" t="s">
        <v>114</v>
      </c>
      <c r="Q136" s="3" t="s">
        <v>146</v>
      </c>
      <c r="R136" s="3" t="s">
        <v>964</v>
      </c>
      <c r="S136" s="3">
        <v>0</v>
      </c>
      <c r="T136" s="3" t="s">
        <v>967</v>
      </c>
      <c r="U136" s="3"/>
      <c r="V136" s="4"/>
    </row>
    <row r="137" spans="1:22" x14ac:dyDescent="0.2">
      <c r="A137" s="16" t="s">
        <v>225</v>
      </c>
      <c r="B137" s="16">
        <v>2950</v>
      </c>
      <c r="C137" s="15" t="s">
        <v>2</v>
      </c>
      <c r="D137" s="15" t="s">
        <v>1</v>
      </c>
      <c r="E137" s="15" t="s">
        <v>92</v>
      </c>
      <c r="F137" s="15" t="s">
        <v>96</v>
      </c>
      <c r="G137" s="15"/>
      <c r="H137" s="17" t="str" cm="1">
        <f t="array" ref="H137">Reverse2_6(O137)</f>
        <v>00-010101</v>
      </c>
      <c r="I137" s="18" cm="1">
        <f t="array" ref="I137">HEX2DEC(Reverse(P137))</f>
        <v>93631153</v>
      </c>
      <c r="J137" s="18" cm="1">
        <f t="array" ref="J137">IF(Q137&lt;&gt;0, HEX2DEC(Reverse(Q137))-$I137,"")</f>
        <v>46</v>
      </c>
      <c r="K137" s="18" cm="1">
        <f t="array" ref="K137">IF(R137&lt;&gt;0, HEX2DEC(Reverse(R137))-$I137,"")</f>
        <v>17</v>
      </c>
      <c r="L137" s="18" cm="1">
        <f t="array" ref="L137">IF(S137&lt;&gt;0, HEX2DEC(Reverse(S137))-$I137,"")</f>
        <v>47</v>
      </c>
      <c r="M137" s="18" cm="1">
        <f t="array" ref="M137">IF(T137&lt;&gt;0, HEX2DEC(Reverse(T137))-$I137,"")</f>
        <v>18</v>
      </c>
      <c r="O137" s="3">
        <v>1010100</v>
      </c>
      <c r="P137" s="3" t="s">
        <v>114</v>
      </c>
      <c r="Q137" s="3" t="s">
        <v>967</v>
      </c>
      <c r="R137" s="19" t="s">
        <v>146</v>
      </c>
      <c r="S137" s="3" t="s">
        <v>970</v>
      </c>
      <c r="T137" s="3" t="s">
        <v>148</v>
      </c>
      <c r="U137" s="3" t="s">
        <v>971</v>
      </c>
      <c r="V137" s="4" t="s">
        <v>972</v>
      </c>
    </row>
    <row r="138" spans="1:22" x14ac:dyDescent="0.2">
      <c r="A138" s="16" t="s">
        <v>226</v>
      </c>
      <c r="B138" s="16">
        <v>2951</v>
      </c>
      <c r="C138" s="15" t="s">
        <v>2</v>
      </c>
      <c r="D138" s="15" t="s">
        <v>1</v>
      </c>
      <c r="E138" s="15" t="s">
        <v>92</v>
      </c>
      <c r="F138" s="15" t="s">
        <v>96</v>
      </c>
      <c r="G138" s="15"/>
      <c r="H138" s="17" t="str" cm="1">
        <f t="array" ref="H138">Reverse2_6(O138)</f>
        <v>00-010101</v>
      </c>
      <c r="I138" s="18" cm="1">
        <f t="array" ref="I138">HEX2DEC(Reverse(P138))</f>
        <v>93631153</v>
      </c>
      <c r="J138" s="18" cm="1">
        <f t="array" ref="J138">IF(Q138&lt;&gt;0, HEX2DEC(Reverse(Q138))-$I138,"")</f>
        <v>47</v>
      </c>
      <c r="K138" s="18" cm="1">
        <f t="array" ref="K138">IF(R138&lt;&gt;0, HEX2DEC(Reverse(R138))-$I138,"")</f>
        <v>17</v>
      </c>
      <c r="L138" s="18" cm="1">
        <f t="array" ref="L138">IF(S138&lt;&gt;0, HEX2DEC(Reverse(S138))-$I138,"")</f>
        <v>48</v>
      </c>
      <c r="M138" s="18" cm="1">
        <f t="array" ref="M138">IF(T138&lt;&gt;0, HEX2DEC(Reverse(T138))-$I138,"")</f>
        <v>18</v>
      </c>
      <c r="O138" s="3">
        <v>1010100</v>
      </c>
      <c r="P138" s="3" t="s">
        <v>114</v>
      </c>
      <c r="Q138" s="3" t="s">
        <v>970</v>
      </c>
      <c r="R138" s="19" t="s">
        <v>146</v>
      </c>
      <c r="S138" s="3" t="s">
        <v>973</v>
      </c>
      <c r="T138" s="3" t="s">
        <v>148</v>
      </c>
      <c r="U138" s="3" t="s">
        <v>974</v>
      </c>
      <c r="V138" s="4" t="s">
        <v>975</v>
      </c>
    </row>
    <row r="139" spans="1:22" x14ac:dyDescent="0.2">
      <c r="A139" s="16" t="s">
        <v>227</v>
      </c>
      <c r="B139" s="16">
        <v>2952</v>
      </c>
      <c r="C139" s="15" t="s">
        <v>2</v>
      </c>
      <c r="D139" s="15" t="s">
        <v>1</v>
      </c>
      <c r="E139" s="15" t="s">
        <v>92</v>
      </c>
      <c r="F139" s="15" t="s">
        <v>96</v>
      </c>
      <c r="G139" s="15"/>
      <c r="H139" s="17" t="str" cm="1">
        <f t="array" ref="H139">Reverse2_6(O139)</f>
        <v>00-010101</v>
      </c>
      <c r="I139" s="18" cm="1">
        <f t="array" ref="I139">HEX2DEC(Reverse(P139))</f>
        <v>93631153</v>
      </c>
      <c r="J139" s="18" cm="1">
        <f t="array" ref="J139">IF(Q139&lt;&gt;0, HEX2DEC(Reverse(Q139))-$I139,"")</f>
        <v>48</v>
      </c>
      <c r="K139" s="18" cm="1">
        <f t="array" ref="K139">IF(R139&lt;&gt;0, HEX2DEC(Reverse(R139))-$I139,"")</f>
        <v>17</v>
      </c>
      <c r="L139" s="18" cm="1">
        <f t="array" ref="L139">IF(S139&lt;&gt;0, HEX2DEC(Reverse(S139))-$I139,"")</f>
        <v>49</v>
      </c>
      <c r="M139" s="18" cm="1">
        <f t="array" ref="M139">IF(T139&lt;&gt;0, HEX2DEC(Reverse(T139))-$I139,"")</f>
        <v>18</v>
      </c>
      <c r="O139" s="3">
        <v>1010100</v>
      </c>
      <c r="P139" s="3" t="s">
        <v>114</v>
      </c>
      <c r="Q139" s="3" t="s">
        <v>973</v>
      </c>
      <c r="R139" s="19" t="s">
        <v>146</v>
      </c>
      <c r="S139" s="3" t="s">
        <v>976</v>
      </c>
      <c r="T139" s="3" t="s">
        <v>148</v>
      </c>
      <c r="U139" s="3" t="s">
        <v>977</v>
      </c>
      <c r="V139" s="4" t="s">
        <v>978</v>
      </c>
    </row>
    <row r="140" spans="1:22" x14ac:dyDescent="0.2">
      <c r="A140" s="16" t="s">
        <v>228</v>
      </c>
      <c r="B140" s="16">
        <v>2953</v>
      </c>
      <c r="C140" s="15" t="s">
        <v>2</v>
      </c>
      <c r="D140" s="15" t="s">
        <v>1</v>
      </c>
      <c r="E140" s="15" t="s">
        <v>92</v>
      </c>
      <c r="F140" s="15" t="s">
        <v>96</v>
      </c>
      <c r="G140" s="15"/>
      <c r="H140" s="17" t="str" cm="1">
        <f t="array" ref="H140">Reverse2_6(O140)</f>
        <v>00-010101</v>
      </c>
      <c r="I140" s="18" cm="1">
        <f t="array" ref="I140">HEX2DEC(Reverse(P140))</f>
        <v>93631153</v>
      </c>
      <c r="J140" s="18" cm="1">
        <f t="array" ref="J140">IF(Q140&lt;&gt;0, HEX2DEC(Reverse(Q140))-$I140,"")</f>
        <v>49</v>
      </c>
      <c r="K140" s="18" cm="1">
        <f t="array" ref="K140">IF(R140&lt;&gt;0, HEX2DEC(Reverse(R140))-$I140,"")</f>
        <v>17</v>
      </c>
      <c r="L140" s="18" cm="1">
        <f t="array" ref="L140">IF(S140&lt;&gt;0, HEX2DEC(Reverse(S140))-$I140,"")</f>
        <v>50</v>
      </c>
      <c r="M140" s="18" cm="1">
        <f t="array" ref="M140">IF(T140&lt;&gt;0, HEX2DEC(Reverse(T140))-$I140,"")</f>
        <v>18</v>
      </c>
      <c r="O140" s="3">
        <v>1010100</v>
      </c>
      <c r="P140" s="3" t="s">
        <v>114</v>
      </c>
      <c r="Q140" s="3" t="s">
        <v>976</v>
      </c>
      <c r="R140" s="19" t="s">
        <v>146</v>
      </c>
      <c r="S140" s="3" t="s">
        <v>979</v>
      </c>
      <c r="T140" s="3" t="s">
        <v>148</v>
      </c>
      <c r="U140" s="3" t="s">
        <v>980</v>
      </c>
      <c r="V140" s="4" t="s">
        <v>981</v>
      </c>
    </row>
    <row r="141" spans="1:22" x14ac:dyDescent="0.2">
      <c r="A141" s="16" t="s">
        <v>229</v>
      </c>
      <c r="B141" s="16">
        <v>2954</v>
      </c>
      <c r="C141" s="15" t="s">
        <v>2</v>
      </c>
      <c r="D141" s="15" t="s">
        <v>1</v>
      </c>
      <c r="E141" s="15" t="s">
        <v>92</v>
      </c>
      <c r="F141" s="15" t="s">
        <v>96</v>
      </c>
      <c r="G141" s="15"/>
      <c r="H141" s="17" t="str" cm="1">
        <f t="array" ref="H141">Reverse2_6(O141)</f>
        <v>00-010101</v>
      </c>
      <c r="I141" s="18" cm="1">
        <f t="array" ref="I141">HEX2DEC(Reverse(P141))</f>
        <v>93631153</v>
      </c>
      <c r="J141" s="18" cm="1">
        <f t="array" ref="J141">IF(Q141&lt;&gt;0, HEX2DEC(Reverse(Q141))-$I141,"")</f>
        <v>50</v>
      </c>
      <c r="K141" s="18" cm="1">
        <f t="array" ref="K141">IF(R141&lt;&gt;0, HEX2DEC(Reverse(R141))-$I141,"")</f>
        <v>17</v>
      </c>
      <c r="L141" s="18" cm="1">
        <f t="array" ref="L141">IF(S141&lt;&gt;0, HEX2DEC(Reverse(S141))-$I141,"")</f>
        <v>51</v>
      </c>
      <c r="M141" s="18" cm="1">
        <f t="array" ref="M141">IF(T141&lt;&gt;0, HEX2DEC(Reverse(T141))-$I141,"")</f>
        <v>18</v>
      </c>
      <c r="O141" s="3">
        <v>1010100</v>
      </c>
      <c r="P141" s="3" t="s">
        <v>114</v>
      </c>
      <c r="Q141" s="3" t="s">
        <v>979</v>
      </c>
      <c r="R141" s="19" t="s">
        <v>146</v>
      </c>
      <c r="S141" s="3" t="s">
        <v>982</v>
      </c>
      <c r="T141" s="3" t="s">
        <v>148</v>
      </c>
      <c r="U141" s="3" t="s">
        <v>983</v>
      </c>
      <c r="V141" s="4" t="s">
        <v>984</v>
      </c>
    </row>
    <row r="142" spans="1:22" x14ac:dyDescent="0.2">
      <c r="A142" s="16" t="s">
        <v>230</v>
      </c>
      <c r="B142" s="16">
        <v>2955</v>
      </c>
      <c r="C142" s="15" t="s">
        <v>2</v>
      </c>
      <c r="D142" s="15" t="s">
        <v>1</v>
      </c>
      <c r="E142" s="15" t="s">
        <v>92</v>
      </c>
      <c r="F142" s="15" t="s">
        <v>96</v>
      </c>
      <c r="G142" s="15"/>
      <c r="H142" s="17" t="str" cm="1">
        <f t="array" ref="H142">Reverse2_6(O142)</f>
        <v>00-010101</v>
      </c>
      <c r="I142" s="18" cm="1">
        <f t="array" ref="I142">HEX2DEC(Reverse(P142))</f>
        <v>93631153</v>
      </c>
      <c r="J142" s="18" cm="1">
        <f t="array" ref="J142">IF(Q142&lt;&gt;0, HEX2DEC(Reverse(Q142))-$I142,"")</f>
        <v>51</v>
      </c>
      <c r="K142" s="18" cm="1">
        <f t="array" ref="K142">IF(R142&lt;&gt;0, HEX2DEC(Reverse(R142))-$I142,"")</f>
        <v>17</v>
      </c>
      <c r="L142" s="18" cm="1">
        <f t="array" ref="L142">IF(S142&lt;&gt;0, HEX2DEC(Reverse(S142))-$I142,"")</f>
        <v>52</v>
      </c>
      <c r="M142" s="18" cm="1">
        <f t="array" ref="M142">IF(T142&lt;&gt;0, HEX2DEC(Reverse(T142))-$I142,"")</f>
        <v>18</v>
      </c>
      <c r="O142" s="3">
        <v>1010100</v>
      </c>
      <c r="P142" s="3" t="s">
        <v>114</v>
      </c>
      <c r="Q142" s="3" t="s">
        <v>982</v>
      </c>
      <c r="R142" s="19" t="s">
        <v>146</v>
      </c>
      <c r="S142" s="3" t="s">
        <v>985</v>
      </c>
      <c r="T142" s="3" t="s">
        <v>148</v>
      </c>
      <c r="U142" s="3" t="s">
        <v>986</v>
      </c>
      <c r="V142" s="4" t="s">
        <v>987</v>
      </c>
    </row>
    <row r="143" spans="1:22" x14ac:dyDescent="0.2">
      <c r="A143" s="16" t="s">
        <v>231</v>
      </c>
      <c r="B143" s="16">
        <v>2956</v>
      </c>
      <c r="C143" s="15" t="s">
        <v>2</v>
      </c>
      <c r="D143" s="15" t="s">
        <v>1</v>
      </c>
      <c r="E143" s="15" t="s">
        <v>92</v>
      </c>
      <c r="F143" s="15" t="s">
        <v>96</v>
      </c>
      <c r="G143" s="15"/>
      <c r="H143" s="17" t="str" cm="1">
        <f t="array" ref="H143">Reverse2_6(O143)</f>
        <v>00-010101</v>
      </c>
      <c r="I143" s="18" cm="1">
        <f t="array" ref="I143">HEX2DEC(Reverse(P143))</f>
        <v>93631153</v>
      </c>
      <c r="J143" s="18" cm="1">
        <f t="array" ref="J143">IF(Q143&lt;&gt;0, HEX2DEC(Reverse(Q143))-$I143,"")</f>
        <v>52</v>
      </c>
      <c r="K143" s="18" cm="1">
        <f t="array" ref="K143">IF(R143&lt;&gt;0, HEX2DEC(Reverse(R143))-$I143,"")</f>
        <v>17</v>
      </c>
      <c r="L143" s="18" cm="1">
        <f t="array" ref="L143">IF(S143&lt;&gt;0, HEX2DEC(Reverse(S143))-$I143,"")</f>
        <v>53</v>
      </c>
      <c r="M143" s="18" cm="1">
        <f t="array" ref="M143">IF(T143&lt;&gt;0, HEX2DEC(Reverse(T143))-$I143,"")</f>
        <v>18</v>
      </c>
      <c r="O143" s="3">
        <v>1010100</v>
      </c>
      <c r="P143" s="3" t="s">
        <v>114</v>
      </c>
      <c r="Q143" s="3" t="s">
        <v>985</v>
      </c>
      <c r="R143" s="19" t="s">
        <v>146</v>
      </c>
      <c r="S143" s="3" t="s">
        <v>988</v>
      </c>
      <c r="T143" s="3" t="s">
        <v>148</v>
      </c>
      <c r="U143" s="3" t="s">
        <v>989</v>
      </c>
      <c r="V143" s="4" t="s">
        <v>990</v>
      </c>
    </row>
    <row r="144" spans="1:22" x14ac:dyDescent="0.2">
      <c r="A144" s="16" t="s">
        <v>232</v>
      </c>
      <c r="B144" s="16">
        <v>2957</v>
      </c>
      <c r="C144" s="15" t="s">
        <v>2</v>
      </c>
      <c r="D144" s="15" t="s">
        <v>1</v>
      </c>
      <c r="E144" s="15" t="s">
        <v>92</v>
      </c>
      <c r="F144" s="15" t="s">
        <v>96</v>
      </c>
      <c r="G144" s="15"/>
      <c r="H144" s="17" t="str" cm="1">
        <f t="array" ref="H144">Reverse2_6(O144)</f>
        <v>00-010101</v>
      </c>
      <c r="I144" s="18" cm="1">
        <f t="array" ref="I144">HEX2DEC(Reverse(P144))</f>
        <v>93631153</v>
      </c>
      <c r="J144" s="18" cm="1">
        <f t="array" ref="J144">IF(Q144&lt;&gt;0, HEX2DEC(Reverse(Q144))-$I144,"")</f>
        <v>53</v>
      </c>
      <c r="K144" s="18" cm="1">
        <f t="array" ref="K144">IF(R144&lt;&gt;0, HEX2DEC(Reverse(R144))-$I144,"")</f>
        <v>17</v>
      </c>
      <c r="L144" s="18" cm="1">
        <f t="array" ref="L144">IF(S144&lt;&gt;0, HEX2DEC(Reverse(S144))-$I144,"")</f>
        <v>54</v>
      </c>
      <c r="M144" s="18" cm="1">
        <f t="array" ref="M144">IF(T144&lt;&gt;0, HEX2DEC(Reverse(T144))-$I144,"")</f>
        <v>18</v>
      </c>
      <c r="O144" s="3">
        <v>1010100</v>
      </c>
      <c r="P144" s="3" t="s">
        <v>114</v>
      </c>
      <c r="Q144" s="3" t="s">
        <v>988</v>
      </c>
      <c r="R144" s="19" t="s">
        <v>146</v>
      </c>
      <c r="S144" s="3" t="s">
        <v>991</v>
      </c>
      <c r="T144" s="3" t="s">
        <v>148</v>
      </c>
      <c r="U144" s="3" t="s">
        <v>992</v>
      </c>
      <c r="V144" s="4" t="s">
        <v>993</v>
      </c>
    </row>
    <row r="145" spans="1:22" x14ac:dyDescent="0.2">
      <c r="A145" s="16" t="s">
        <v>233</v>
      </c>
      <c r="B145" s="16">
        <v>2958</v>
      </c>
      <c r="C145" s="15" t="s">
        <v>2</v>
      </c>
      <c r="D145" s="15" t="s">
        <v>1</v>
      </c>
      <c r="E145" s="15" t="s">
        <v>92</v>
      </c>
      <c r="F145" s="15" t="s">
        <v>96</v>
      </c>
      <c r="G145" s="15"/>
      <c r="H145" s="17" t="str" cm="1">
        <f t="array" ref="H145">Reverse2_6(O145)</f>
        <v>00-010101</v>
      </c>
      <c r="I145" s="18" cm="1">
        <f t="array" ref="I145">HEX2DEC(Reverse(P145))</f>
        <v>93631153</v>
      </c>
      <c r="J145" s="18" cm="1">
        <f t="array" ref="J145">IF(Q145&lt;&gt;0, HEX2DEC(Reverse(Q145))-$I145,"")</f>
        <v>54</v>
      </c>
      <c r="K145" s="18" cm="1">
        <f t="array" ref="K145">IF(R145&lt;&gt;0, HEX2DEC(Reverse(R145))-$I145,"")</f>
        <v>17</v>
      </c>
      <c r="L145" s="18" cm="1">
        <f t="array" ref="L145">IF(S145&lt;&gt;0, HEX2DEC(Reverse(S145))-$I145,"")</f>
        <v>55</v>
      </c>
      <c r="M145" s="18" cm="1">
        <f t="array" ref="M145">IF(T145&lt;&gt;0, HEX2DEC(Reverse(T145))-$I145,"")</f>
        <v>18</v>
      </c>
      <c r="O145" s="3">
        <v>1010100</v>
      </c>
      <c r="P145" s="3" t="s">
        <v>114</v>
      </c>
      <c r="Q145" s="3" t="s">
        <v>991</v>
      </c>
      <c r="R145" s="19" t="s">
        <v>146</v>
      </c>
      <c r="S145" s="3" t="s">
        <v>994</v>
      </c>
      <c r="T145" s="3" t="s">
        <v>148</v>
      </c>
      <c r="U145" s="3" t="s">
        <v>995</v>
      </c>
      <c r="V145" s="4" t="s">
        <v>996</v>
      </c>
    </row>
    <row r="146" spans="1:22" x14ac:dyDescent="0.2">
      <c r="A146" s="16" t="s">
        <v>234</v>
      </c>
      <c r="B146" s="16">
        <v>2959</v>
      </c>
      <c r="C146" s="15" t="s">
        <v>2</v>
      </c>
      <c r="D146" s="15" t="s">
        <v>1</v>
      </c>
      <c r="E146" s="15" t="s">
        <v>92</v>
      </c>
      <c r="F146" s="15" t="s">
        <v>96</v>
      </c>
      <c r="G146" s="15"/>
      <c r="H146" s="17" t="str" cm="1">
        <f t="array" ref="H146">Reverse2_6(O146)</f>
        <v>00-010101</v>
      </c>
      <c r="I146" s="18" cm="1">
        <f t="array" ref="I146">HEX2DEC(Reverse(P146))</f>
        <v>93631153</v>
      </c>
      <c r="J146" s="18" cm="1">
        <f t="array" ref="J146">IF(Q146&lt;&gt;0, HEX2DEC(Reverse(Q146))-$I146,"")</f>
        <v>55</v>
      </c>
      <c r="K146" s="18" cm="1">
        <f t="array" ref="K146">IF(R146&lt;&gt;0, HEX2DEC(Reverse(R146))-$I146,"")</f>
        <v>17</v>
      </c>
      <c r="L146" s="18" cm="1">
        <f t="array" ref="L146">IF(S146&lt;&gt;0, HEX2DEC(Reverse(S146))-$I146,"")</f>
        <v>56</v>
      </c>
      <c r="M146" s="18" cm="1">
        <f t="array" ref="M146">IF(T146&lt;&gt;0, HEX2DEC(Reverse(T146))-$I146,"")</f>
        <v>18</v>
      </c>
      <c r="O146" s="3">
        <v>1010100</v>
      </c>
      <c r="P146" s="3" t="s">
        <v>114</v>
      </c>
      <c r="Q146" s="3" t="s">
        <v>994</v>
      </c>
      <c r="R146" s="19" t="s">
        <v>146</v>
      </c>
      <c r="S146" s="3" t="s">
        <v>997</v>
      </c>
      <c r="T146" s="3" t="s">
        <v>148</v>
      </c>
      <c r="U146" s="3" t="s">
        <v>998</v>
      </c>
      <c r="V146" s="4" t="s">
        <v>999</v>
      </c>
    </row>
    <row r="147" spans="1:22" x14ac:dyDescent="0.2">
      <c r="A147" s="20" t="s">
        <v>235</v>
      </c>
      <c r="B147" s="20">
        <v>2960</v>
      </c>
      <c r="C147" s="21" t="s">
        <v>1</v>
      </c>
      <c r="D147" s="21" t="s">
        <v>2</v>
      </c>
      <c r="E147" s="21" t="s">
        <v>90</v>
      </c>
      <c r="F147" s="21" t="s">
        <v>94</v>
      </c>
      <c r="G147" s="21" t="s">
        <v>1778</v>
      </c>
      <c r="H147" s="22" t="str" cm="1">
        <f t="array" ref="H147">Reverse2_6(O147)</f>
        <v>00-010201</v>
      </c>
      <c r="I147" s="45" cm="1">
        <f t="array" ref="I147">HEX2DEC(Reverse(P147))</f>
        <v>93631153</v>
      </c>
      <c r="J147" s="45" cm="1">
        <f t="array" ref="J147">IF(Q147&lt;&gt;0, HEX2DEC(Reverse(Q147))-$I147,"")</f>
        <v>17</v>
      </c>
      <c r="K147" s="45" cm="1">
        <f t="array" ref="K147">IF(R147&lt;&gt;0, HEX2DEC(Reverse(R147))-$I147,"")</f>
        <v>46</v>
      </c>
      <c r="L147" s="45" t="str" cm="1">
        <f t="array" ref="L147">IF(S147&lt;&gt;0, HEX2DEC(Reverse(S147))-$I147,"")</f>
        <v/>
      </c>
      <c r="M147" s="45" cm="1">
        <f t="array" ref="M147">IF(T147&lt;&gt;0, HEX2DEC(Reverse(T147))-$I147,"")</f>
        <v>47</v>
      </c>
      <c r="O147" s="3">
        <v>1020100</v>
      </c>
      <c r="P147" s="3" t="s">
        <v>114</v>
      </c>
      <c r="Q147" s="3" t="s">
        <v>146</v>
      </c>
      <c r="R147" s="3" t="s">
        <v>967</v>
      </c>
      <c r="S147" s="3">
        <v>0</v>
      </c>
      <c r="T147" s="3" t="s">
        <v>970</v>
      </c>
      <c r="U147" s="3"/>
      <c r="V147" s="4"/>
    </row>
    <row r="148" spans="1:22" x14ac:dyDescent="0.2">
      <c r="A148" s="20" t="s">
        <v>236</v>
      </c>
      <c r="B148" s="20">
        <v>2961</v>
      </c>
      <c r="C148" s="21" t="s">
        <v>1</v>
      </c>
      <c r="D148" s="21" t="s">
        <v>2</v>
      </c>
      <c r="E148" s="21" t="s">
        <v>90</v>
      </c>
      <c r="F148" s="21" t="s">
        <v>94</v>
      </c>
      <c r="G148" s="21" t="s">
        <v>1778</v>
      </c>
      <c r="H148" s="22" t="str" cm="1">
        <f t="array" ref="H148">Reverse2_6(O148)</f>
        <v>00-010201</v>
      </c>
      <c r="I148" s="45" cm="1">
        <f t="array" ref="I148">HEX2DEC(Reverse(P148))</f>
        <v>93631153</v>
      </c>
      <c r="J148" s="45" cm="1">
        <f t="array" ref="J148">IF(Q148&lt;&gt;0, HEX2DEC(Reverse(Q148))-$I148,"")</f>
        <v>17</v>
      </c>
      <c r="K148" s="45" cm="1">
        <f t="array" ref="K148">IF(R148&lt;&gt;0, HEX2DEC(Reverse(R148))-$I148,"")</f>
        <v>47</v>
      </c>
      <c r="L148" s="45" t="str" cm="1">
        <f t="array" ref="L148">IF(S148&lt;&gt;0, HEX2DEC(Reverse(S148))-$I148,"")</f>
        <v/>
      </c>
      <c r="M148" s="45" cm="1">
        <f t="array" ref="M148">IF(T148&lt;&gt;0, HEX2DEC(Reverse(T148))-$I148,"")</f>
        <v>48</v>
      </c>
      <c r="O148" s="3">
        <v>1020100</v>
      </c>
      <c r="P148" s="3" t="s">
        <v>114</v>
      </c>
      <c r="Q148" s="3" t="s">
        <v>146</v>
      </c>
      <c r="R148" s="3" t="s">
        <v>970</v>
      </c>
      <c r="S148" s="3">
        <v>0</v>
      </c>
      <c r="T148" s="3" t="s">
        <v>973</v>
      </c>
      <c r="U148" s="3"/>
      <c r="V148" s="4"/>
    </row>
    <row r="149" spans="1:22" x14ac:dyDescent="0.2">
      <c r="A149" s="16" t="s">
        <v>237</v>
      </c>
      <c r="B149" s="16">
        <v>2962</v>
      </c>
      <c r="C149" s="15" t="s">
        <v>2</v>
      </c>
      <c r="D149" s="15" t="s">
        <v>1</v>
      </c>
      <c r="E149" s="15" t="s">
        <v>92</v>
      </c>
      <c r="F149" s="15" t="s">
        <v>96</v>
      </c>
      <c r="G149" s="15"/>
      <c r="H149" s="17" t="str" cm="1">
        <f t="array" ref="H149">Reverse2_6(O149)</f>
        <v>00-010101</v>
      </c>
      <c r="I149" s="18" cm="1">
        <f t="array" ref="I149">HEX2DEC(Reverse(P149))</f>
        <v>93631153</v>
      </c>
      <c r="J149" s="18" cm="1">
        <f t="array" ref="J149">IF(Q149&lt;&gt;0, HEX2DEC(Reverse(Q149))-$I149,"")</f>
        <v>56</v>
      </c>
      <c r="K149" s="18" cm="1">
        <f t="array" ref="K149">IF(R149&lt;&gt;0, HEX2DEC(Reverse(R149))-$I149,"")</f>
        <v>17</v>
      </c>
      <c r="L149" s="18" cm="1">
        <f t="array" ref="L149">IF(S149&lt;&gt;0, HEX2DEC(Reverse(S149))-$I149,"")</f>
        <v>57</v>
      </c>
      <c r="M149" s="18" cm="1">
        <f t="array" ref="M149">IF(T149&lt;&gt;0, HEX2DEC(Reverse(T149))-$I149,"")</f>
        <v>18</v>
      </c>
      <c r="O149" s="3">
        <v>1010100</v>
      </c>
      <c r="P149" s="3" t="s">
        <v>114</v>
      </c>
      <c r="Q149" s="3" t="s">
        <v>997</v>
      </c>
      <c r="R149" s="19" t="s">
        <v>146</v>
      </c>
      <c r="S149" s="3" t="s">
        <v>1000</v>
      </c>
      <c r="T149" s="3" t="s">
        <v>148</v>
      </c>
      <c r="U149" s="3" t="s">
        <v>1001</v>
      </c>
      <c r="V149" s="4" t="s">
        <v>1002</v>
      </c>
    </row>
    <row r="150" spans="1:22" x14ac:dyDescent="0.2">
      <c r="A150" s="20" t="s">
        <v>238</v>
      </c>
      <c r="B150" s="20">
        <v>2963</v>
      </c>
      <c r="C150" s="21" t="s">
        <v>1</v>
      </c>
      <c r="D150" s="21" t="s">
        <v>2</v>
      </c>
      <c r="E150" s="21" t="s">
        <v>90</v>
      </c>
      <c r="F150" s="21" t="s">
        <v>94</v>
      </c>
      <c r="G150" s="21" t="s">
        <v>1778</v>
      </c>
      <c r="H150" s="22" t="str" cm="1">
        <f t="array" ref="H150">Reverse2_6(O150)</f>
        <v>00-010201</v>
      </c>
      <c r="I150" s="45" cm="1">
        <f t="array" ref="I150">HEX2DEC(Reverse(P150))</f>
        <v>93631153</v>
      </c>
      <c r="J150" s="45" cm="1">
        <f t="array" ref="J150">IF(Q150&lt;&gt;0, HEX2DEC(Reverse(Q150))-$I150,"")</f>
        <v>17</v>
      </c>
      <c r="K150" s="45" cm="1">
        <f t="array" ref="K150">IF(R150&lt;&gt;0, HEX2DEC(Reverse(R150))-$I150,"")</f>
        <v>48</v>
      </c>
      <c r="L150" s="45" t="str" cm="1">
        <f t="array" ref="L150">IF(S150&lt;&gt;0, HEX2DEC(Reverse(S150))-$I150,"")</f>
        <v/>
      </c>
      <c r="M150" s="45" cm="1">
        <f t="array" ref="M150">IF(T150&lt;&gt;0, HEX2DEC(Reverse(T150))-$I150,"")</f>
        <v>49</v>
      </c>
      <c r="O150" s="3">
        <v>1020100</v>
      </c>
      <c r="P150" s="3" t="s">
        <v>114</v>
      </c>
      <c r="Q150" s="3" t="s">
        <v>146</v>
      </c>
      <c r="R150" s="3" t="s">
        <v>973</v>
      </c>
      <c r="S150" s="3">
        <v>0</v>
      </c>
      <c r="T150" s="3" t="s">
        <v>976</v>
      </c>
      <c r="U150" s="3"/>
      <c r="V150" s="4"/>
    </row>
    <row r="151" spans="1:22" x14ac:dyDescent="0.2">
      <c r="A151" s="20" t="s">
        <v>239</v>
      </c>
      <c r="B151" s="20">
        <v>2964</v>
      </c>
      <c r="C151" s="21" t="s">
        <v>1</v>
      </c>
      <c r="D151" s="21" t="s">
        <v>2</v>
      </c>
      <c r="E151" s="21" t="s">
        <v>90</v>
      </c>
      <c r="F151" s="21" t="s">
        <v>94</v>
      </c>
      <c r="G151" s="21" t="s">
        <v>1778</v>
      </c>
      <c r="H151" s="22" t="str" cm="1">
        <f t="array" ref="H151">Reverse2_6(O151)</f>
        <v>00-010201</v>
      </c>
      <c r="I151" s="45" cm="1">
        <f t="array" ref="I151">HEX2DEC(Reverse(P151))</f>
        <v>93631153</v>
      </c>
      <c r="J151" s="45" cm="1">
        <f t="array" ref="J151">IF(Q151&lt;&gt;0, HEX2DEC(Reverse(Q151))-$I151,"")</f>
        <v>17</v>
      </c>
      <c r="K151" s="45" cm="1">
        <f t="array" ref="K151">IF(R151&lt;&gt;0, HEX2DEC(Reverse(R151))-$I151,"")</f>
        <v>49</v>
      </c>
      <c r="L151" s="45" t="str" cm="1">
        <f t="array" ref="L151">IF(S151&lt;&gt;0, HEX2DEC(Reverse(S151))-$I151,"")</f>
        <v/>
      </c>
      <c r="M151" s="45" cm="1">
        <f t="array" ref="M151">IF(T151&lt;&gt;0, HEX2DEC(Reverse(T151))-$I151,"")</f>
        <v>50</v>
      </c>
      <c r="O151" s="3">
        <v>1020100</v>
      </c>
      <c r="P151" s="3" t="s">
        <v>114</v>
      </c>
      <c r="Q151" s="3" t="s">
        <v>146</v>
      </c>
      <c r="R151" s="3" t="s">
        <v>976</v>
      </c>
      <c r="S151" s="3">
        <v>0</v>
      </c>
      <c r="T151" s="3" t="s">
        <v>979</v>
      </c>
      <c r="U151" s="3"/>
      <c r="V151" s="4"/>
    </row>
    <row r="152" spans="1:22" x14ac:dyDescent="0.2">
      <c r="A152" s="20" t="s">
        <v>240</v>
      </c>
      <c r="B152" s="20">
        <v>2965</v>
      </c>
      <c r="C152" s="21" t="s">
        <v>1</v>
      </c>
      <c r="D152" s="21" t="s">
        <v>2</v>
      </c>
      <c r="E152" s="21" t="s">
        <v>90</v>
      </c>
      <c r="F152" s="21" t="s">
        <v>94</v>
      </c>
      <c r="G152" s="21" t="s">
        <v>1778</v>
      </c>
      <c r="H152" s="22" t="str" cm="1">
        <f t="array" ref="H152">Reverse2_6(O152)</f>
        <v>00-010201</v>
      </c>
      <c r="I152" s="45" cm="1">
        <f t="array" ref="I152">HEX2DEC(Reverse(P152))</f>
        <v>93631153</v>
      </c>
      <c r="J152" s="45" cm="1">
        <f t="array" ref="J152">IF(Q152&lt;&gt;0, HEX2DEC(Reverse(Q152))-$I152,"")</f>
        <v>17</v>
      </c>
      <c r="K152" s="45" cm="1">
        <f t="array" ref="K152">IF(R152&lt;&gt;0, HEX2DEC(Reverse(R152))-$I152,"")</f>
        <v>50</v>
      </c>
      <c r="L152" s="45" t="str" cm="1">
        <f t="array" ref="L152">IF(S152&lt;&gt;0, HEX2DEC(Reverse(S152))-$I152,"")</f>
        <v/>
      </c>
      <c r="M152" s="45" cm="1">
        <f t="array" ref="M152">IF(T152&lt;&gt;0, HEX2DEC(Reverse(T152))-$I152,"")</f>
        <v>51</v>
      </c>
      <c r="O152" s="3">
        <v>1020100</v>
      </c>
      <c r="P152" s="3" t="s">
        <v>114</v>
      </c>
      <c r="Q152" s="3" t="s">
        <v>146</v>
      </c>
      <c r="R152" s="3" t="s">
        <v>979</v>
      </c>
      <c r="S152" s="3">
        <v>0</v>
      </c>
      <c r="T152" s="3" t="s">
        <v>982</v>
      </c>
      <c r="U152" s="3"/>
      <c r="V152" s="4"/>
    </row>
    <row r="153" spans="1:22" x14ac:dyDescent="0.2">
      <c r="A153" s="20" t="s">
        <v>241</v>
      </c>
      <c r="B153" s="20">
        <v>2966</v>
      </c>
      <c r="C153" s="21" t="s">
        <v>1</v>
      </c>
      <c r="D153" s="21" t="s">
        <v>2</v>
      </c>
      <c r="E153" s="21" t="s">
        <v>90</v>
      </c>
      <c r="F153" s="21" t="s">
        <v>94</v>
      </c>
      <c r="G153" s="21" t="s">
        <v>1778</v>
      </c>
      <c r="H153" s="22" t="str" cm="1">
        <f t="array" ref="H153">Reverse2_6(O153)</f>
        <v>00-010201</v>
      </c>
      <c r="I153" s="45" cm="1">
        <f t="array" ref="I153">HEX2DEC(Reverse(P153))</f>
        <v>93631153</v>
      </c>
      <c r="J153" s="45" cm="1">
        <f t="array" ref="J153">IF(Q153&lt;&gt;0, HEX2DEC(Reverse(Q153))-$I153,"")</f>
        <v>17</v>
      </c>
      <c r="K153" s="45" cm="1">
        <f t="array" ref="K153">IF(R153&lt;&gt;0, HEX2DEC(Reverse(R153))-$I153,"")</f>
        <v>51</v>
      </c>
      <c r="L153" s="45" t="str" cm="1">
        <f t="array" ref="L153">IF(S153&lt;&gt;0, HEX2DEC(Reverse(S153))-$I153,"")</f>
        <v/>
      </c>
      <c r="M153" s="45" cm="1">
        <f t="array" ref="M153">IF(T153&lt;&gt;0, HEX2DEC(Reverse(T153))-$I153,"")</f>
        <v>52</v>
      </c>
      <c r="O153" s="3">
        <v>1020100</v>
      </c>
      <c r="P153" s="3" t="s">
        <v>114</v>
      </c>
      <c r="Q153" s="3" t="s">
        <v>146</v>
      </c>
      <c r="R153" s="3" t="s">
        <v>982</v>
      </c>
      <c r="S153" s="3">
        <v>0</v>
      </c>
      <c r="T153" s="3" t="s">
        <v>985</v>
      </c>
      <c r="U153" s="3"/>
      <c r="V153" s="4"/>
    </row>
    <row r="154" spans="1:22" x14ac:dyDescent="0.2">
      <c r="A154" s="20" t="s">
        <v>242</v>
      </c>
      <c r="B154" s="20">
        <v>2968</v>
      </c>
      <c r="C154" s="21" t="s">
        <v>1</v>
      </c>
      <c r="D154" s="21" t="s">
        <v>2</v>
      </c>
      <c r="E154" s="21" t="s">
        <v>90</v>
      </c>
      <c r="F154" s="21" t="s">
        <v>94</v>
      </c>
      <c r="G154" s="21" t="s">
        <v>1778</v>
      </c>
      <c r="H154" s="22" t="str" cm="1">
        <f t="array" ref="H154">Reverse2_6(O154)</f>
        <v>00-010201</v>
      </c>
      <c r="I154" s="45" cm="1">
        <f t="array" ref="I154">HEX2DEC(Reverse(P154))</f>
        <v>93631153</v>
      </c>
      <c r="J154" s="45" cm="1">
        <f t="array" ref="J154">IF(Q154&lt;&gt;0, HEX2DEC(Reverse(Q154))-$I154,"")</f>
        <v>17</v>
      </c>
      <c r="K154" s="45" cm="1">
        <f t="array" ref="K154">IF(R154&lt;&gt;0, HEX2DEC(Reverse(R154))-$I154,"")</f>
        <v>52</v>
      </c>
      <c r="L154" s="45" t="str" cm="1">
        <f t="array" ref="L154">IF(S154&lt;&gt;0, HEX2DEC(Reverse(S154))-$I154,"")</f>
        <v/>
      </c>
      <c r="M154" s="45" cm="1">
        <f t="array" ref="M154">IF(T154&lt;&gt;0, HEX2DEC(Reverse(T154))-$I154,"")</f>
        <v>53</v>
      </c>
      <c r="O154" s="3">
        <v>1020100</v>
      </c>
      <c r="P154" s="3" t="s">
        <v>114</v>
      </c>
      <c r="Q154" s="3" t="s">
        <v>146</v>
      </c>
      <c r="R154" s="3" t="s">
        <v>985</v>
      </c>
      <c r="S154" s="3">
        <v>0</v>
      </c>
      <c r="T154" s="3" t="s">
        <v>988</v>
      </c>
      <c r="U154" s="3"/>
      <c r="V154" s="4"/>
    </row>
    <row r="155" spans="1:22" x14ac:dyDescent="0.2">
      <c r="A155" s="16" t="s">
        <v>243</v>
      </c>
      <c r="B155" s="16">
        <v>2969</v>
      </c>
      <c r="C155" s="15" t="s">
        <v>2</v>
      </c>
      <c r="D155" s="15" t="s">
        <v>1</v>
      </c>
      <c r="E155" s="15" t="s">
        <v>92</v>
      </c>
      <c r="F155" s="15" t="s">
        <v>96</v>
      </c>
      <c r="G155" s="15"/>
      <c r="H155" s="17" t="str" cm="1">
        <f t="array" ref="H155">Reverse2_6(O155)</f>
        <v>00-010101</v>
      </c>
      <c r="I155" s="18" cm="1">
        <f t="array" ref="I155">HEX2DEC(Reverse(P155))</f>
        <v>93631153</v>
      </c>
      <c r="J155" s="18" cm="1">
        <f t="array" ref="J155">IF(Q155&lt;&gt;0, HEX2DEC(Reverse(Q155))-$I155,"")</f>
        <v>57</v>
      </c>
      <c r="K155" s="18" cm="1">
        <f t="array" ref="K155">IF(R155&lt;&gt;0, HEX2DEC(Reverse(R155))-$I155,"")</f>
        <v>17</v>
      </c>
      <c r="L155" s="18" cm="1">
        <f t="array" ref="L155">IF(S155&lt;&gt;0, HEX2DEC(Reverse(S155))-$I155,"")</f>
        <v>58</v>
      </c>
      <c r="M155" s="18" cm="1">
        <f t="array" ref="M155">IF(T155&lt;&gt;0, HEX2DEC(Reverse(T155))-$I155,"")</f>
        <v>18</v>
      </c>
      <c r="O155" s="3">
        <v>1010100</v>
      </c>
      <c r="P155" s="3" t="s">
        <v>114</v>
      </c>
      <c r="Q155" s="3" t="s">
        <v>1000</v>
      </c>
      <c r="R155" s="19" t="s">
        <v>146</v>
      </c>
      <c r="S155" s="3" t="s">
        <v>1003</v>
      </c>
      <c r="T155" s="3" t="s">
        <v>148</v>
      </c>
      <c r="U155" s="3" t="s">
        <v>1004</v>
      </c>
      <c r="V155" s="4" t="s">
        <v>1005</v>
      </c>
    </row>
    <row r="156" spans="1:22" x14ac:dyDescent="0.2">
      <c r="A156" s="16" t="s">
        <v>244</v>
      </c>
      <c r="B156" s="16">
        <v>2970</v>
      </c>
      <c r="C156" s="15" t="s">
        <v>2</v>
      </c>
      <c r="D156" s="15" t="s">
        <v>1</v>
      </c>
      <c r="E156" s="15" t="s">
        <v>92</v>
      </c>
      <c r="F156" s="15" t="s">
        <v>96</v>
      </c>
      <c r="G156" s="15"/>
      <c r="H156" s="17" t="str" cm="1">
        <f t="array" ref="H156">Reverse2_6(O156)</f>
        <v>00-010101</v>
      </c>
      <c r="I156" s="18" cm="1">
        <f t="array" ref="I156">HEX2DEC(Reverse(P156))</f>
        <v>93631153</v>
      </c>
      <c r="J156" s="18" cm="1">
        <f t="array" ref="J156">IF(Q156&lt;&gt;0, HEX2DEC(Reverse(Q156))-$I156,"")</f>
        <v>58</v>
      </c>
      <c r="K156" s="18" cm="1">
        <f t="array" ref="K156">IF(R156&lt;&gt;0, HEX2DEC(Reverse(R156))-$I156,"")</f>
        <v>17</v>
      </c>
      <c r="L156" s="18" cm="1">
        <f t="array" ref="L156">IF(S156&lt;&gt;0, HEX2DEC(Reverse(S156))-$I156,"")</f>
        <v>59</v>
      </c>
      <c r="M156" s="18" cm="1">
        <f t="array" ref="M156">IF(T156&lt;&gt;0, HEX2DEC(Reverse(T156))-$I156,"")</f>
        <v>18</v>
      </c>
      <c r="O156" s="3">
        <v>1010100</v>
      </c>
      <c r="P156" s="3" t="s">
        <v>114</v>
      </c>
      <c r="Q156" s="3" t="s">
        <v>1003</v>
      </c>
      <c r="R156" s="19" t="s">
        <v>146</v>
      </c>
      <c r="S156" s="3" t="s">
        <v>1006</v>
      </c>
      <c r="T156" s="3" t="s">
        <v>148</v>
      </c>
      <c r="U156" s="3" t="s">
        <v>1007</v>
      </c>
      <c r="V156" s="4" t="s">
        <v>1008</v>
      </c>
    </row>
    <row r="157" spans="1:22" x14ac:dyDescent="0.2">
      <c r="A157" s="20" t="s">
        <v>245</v>
      </c>
      <c r="B157" s="20">
        <v>2971</v>
      </c>
      <c r="C157" s="21" t="s">
        <v>1</v>
      </c>
      <c r="D157" s="21" t="s">
        <v>2</v>
      </c>
      <c r="E157" s="21" t="s">
        <v>90</v>
      </c>
      <c r="F157" s="21" t="s">
        <v>94</v>
      </c>
      <c r="G157" s="21" t="s">
        <v>1778</v>
      </c>
      <c r="H157" s="22" t="str" cm="1">
        <f t="array" ref="H157">Reverse2_6(O157)</f>
        <v>00-010201</v>
      </c>
      <c r="I157" s="45" cm="1">
        <f t="array" ref="I157">HEX2DEC(Reverse(P157))</f>
        <v>93631153</v>
      </c>
      <c r="J157" s="45" cm="1">
        <f t="array" ref="J157">IF(Q157&lt;&gt;0, HEX2DEC(Reverse(Q157))-$I157,"")</f>
        <v>17</v>
      </c>
      <c r="K157" s="45" cm="1">
        <f t="array" ref="K157">IF(R157&lt;&gt;0, HEX2DEC(Reverse(R157))-$I157,"")</f>
        <v>53</v>
      </c>
      <c r="L157" s="45" t="str" cm="1">
        <f t="array" ref="L157">IF(S157&lt;&gt;0, HEX2DEC(Reverse(S157))-$I157,"")</f>
        <v/>
      </c>
      <c r="M157" s="45" cm="1">
        <f t="array" ref="M157">IF(T157&lt;&gt;0, HEX2DEC(Reverse(T157))-$I157,"")</f>
        <v>54</v>
      </c>
      <c r="O157" s="3">
        <v>1020100</v>
      </c>
      <c r="P157" s="3" t="s">
        <v>114</v>
      </c>
      <c r="Q157" s="3" t="s">
        <v>146</v>
      </c>
      <c r="R157" s="3" t="s">
        <v>988</v>
      </c>
      <c r="S157" s="3">
        <v>0</v>
      </c>
      <c r="T157" s="3" t="s">
        <v>991</v>
      </c>
      <c r="U157" s="3"/>
      <c r="V157" s="4"/>
    </row>
    <row r="158" spans="1:22" x14ac:dyDescent="0.2">
      <c r="A158" s="20" t="s">
        <v>246</v>
      </c>
      <c r="B158" s="20">
        <v>2972</v>
      </c>
      <c r="C158" s="21" t="s">
        <v>1</v>
      </c>
      <c r="D158" s="21" t="s">
        <v>2</v>
      </c>
      <c r="E158" s="21" t="s">
        <v>90</v>
      </c>
      <c r="F158" s="21" t="s">
        <v>94</v>
      </c>
      <c r="G158" s="21" t="s">
        <v>1778</v>
      </c>
      <c r="H158" s="22" t="str" cm="1">
        <f t="array" ref="H158">Reverse2_6(O158)</f>
        <v>00-010201</v>
      </c>
      <c r="I158" s="45" cm="1">
        <f t="array" ref="I158">HEX2DEC(Reverse(P158))</f>
        <v>93631153</v>
      </c>
      <c r="J158" s="45" cm="1">
        <f t="array" ref="J158">IF(Q158&lt;&gt;0, HEX2DEC(Reverse(Q158))-$I158,"")</f>
        <v>17</v>
      </c>
      <c r="K158" s="45" cm="1">
        <f t="array" ref="K158">IF(R158&lt;&gt;0, HEX2DEC(Reverse(R158))-$I158,"")</f>
        <v>54</v>
      </c>
      <c r="L158" s="45" t="str" cm="1">
        <f t="array" ref="L158">IF(S158&lt;&gt;0, HEX2DEC(Reverse(S158))-$I158,"")</f>
        <v/>
      </c>
      <c r="M158" s="45" cm="1">
        <f t="array" ref="M158">IF(T158&lt;&gt;0, HEX2DEC(Reverse(T158))-$I158,"")</f>
        <v>55</v>
      </c>
      <c r="O158" s="3">
        <v>1020100</v>
      </c>
      <c r="P158" s="3" t="s">
        <v>114</v>
      </c>
      <c r="Q158" s="3" t="s">
        <v>146</v>
      </c>
      <c r="R158" s="3" t="s">
        <v>991</v>
      </c>
      <c r="S158" s="3">
        <v>0</v>
      </c>
      <c r="T158" s="3" t="s">
        <v>994</v>
      </c>
      <c r="U158" s="3"/>
      <c r="V158" s="4"/>
    </row>
    <row r="159" spans="1:22" x14ac:dyDescent="0.2">
      <c r="A159" s="20" t="s">
        <v>247</v>
      </c>
      <c r="B159" s="20">
        <v>2973</v>
      </c>
      <c r="C159" s="21" t="s">
        <v>1</v>
      </c>
      <c r="D159" s="21" t="s">
        <v>2</v>
      </c>
      <c r="E159" s="21" t="s">
        <v>90</v>
      </c>
      <c r="F159" s="21" t="s">
        <v>94</v>
      </c>
      <c r="G159" s="21" t="s">
        <v>1778</v>
      </c>
      <c r="H159" s="22" t="str" cm="1">
        <f t="array" ref="H159">Reverse2_6(O159)</f>
        <v>00-010201</v>
      </c>
      <c r="I159" s="45" cm="1">
        <f t="array" ref="I159">HEX2DEC(Reverse(P159))</f>
        <v>93631153</v>
      </c>
      <c r="J159" s="45" cm="1">
        <f t="array" ref="J159">IF(Q159&lt;&gt;0, HEX2DEC(Reverse(Q159))-$I159,"")</f>
        <v>17</v>
      </c>
      <c r="K159" s="45" cm="1">
        <f t="array" ref="K159">IF(R159&lt;&gt;0, HEX2DEC(Reverse(R159))-$I159,"")</f>
        <v>55</v>
      </c>
      <c r="L159" s="45" t="str" cm="1">
        <f t="array" ref="L159">IF(S159&lt;&gt;0, HEX2DEC(Reverse(S159))-$I159,"")</f>
        <v/>
      </c>
      <c r="M159" s="45" cm="1">
        <f t="array" ref="M159">IF(T159&lt;&gt;0, HEX2DEC(Reverse(T159))-$I159,"")</f>
        <v>56</v>
      </c>
      <c r="O159" s="3">
        <v>1020100</v>
      </c>
      <c r="P159" s="3" t="s">
        <v>114</v>
      </c>
      <c r="Q159" s="3" t="s">
        <v>146</v>
      </c>
      <c r="R159" s="3" t="s">
        <v>994</v>
      </c>
      <c r="S159" s="3">
        <v>0</v>
      </c>
      <c r="T159" s="3" t="s">
        <v>997</v>
      </c>
      <c r="U159" s="3"/>
      <c r="V159" s="4"/>
    </row>
    <row r="160" spans="1:22" x14ac:dyDescent="0.2">
      <c r="A160" s="20" t="s">
        <v>248</v>
      </c>
      <c r="B160" s="20">
        <v>2974</v>
      </c>
      <c r="C160" s="21" t="s">
        <v>1</v>
      </c>
      <c r="D160" s="21" t="s">
        <v>2</v>
      </c>
      <c r="E160" s="21" t="s">
        <v>90</v>
      </c>
      <c r="F160" s="21" t="s">
        <v>94</v>
      </c>
      <c r="G160" s="21" t="s">
        <v>1778</v>
      </c>
      <c r="H160" s="22" t="str" cm="1">
        <f t="array" ref="H160">Reverse2_6(O160)</f>
        <v>00-010201</v>
      </c>
      <c r="I160" s="45" cm="1">
        <f t="array" ref="I160">HEX2DEC(Reverse(P160))</f>
        <v>93631153</v>
      </c>
      <c r="J160" s="45" cm="1">
        <f t="array" ref="J160">IF(Q160&lt;&gt;0, HEX2DEC(Reverse(Q160))-$I160,"")</f>
        <v>17</v>
      </c>
      <c r="K160" s="45" cm="1">
        <f t="array" ref="K160">IF(R160&lt;&gt;0, HEX2DEC(Reverse(R160))-$I160,"")</f>
        <v>56</v>
      </c>
      <c r="L160" s="45" t="str" cm="1">
        <f t="array" ref="L160">IF(S160&lt;&gt;0, HEX2DEC(Reverse(S160))-$I160,"")</f>
        <v/>
      </c>
      <c r="M160" s="45" cm="1">
        <f t="array" ref="M160">IF(T160&lt;&gt;0, HEX2DEC(Reverse(T160))-$I160,"")</f>
        <v>57</v>
      </c>
      <c r="O160" s="3">
        <v>1020100</v>
      </c>
      <c r="P160" s="3" t="s">
        <v>114</v>
      </c>
      <c r="Q160" s="3" t="s">
        <v>146</v>
      </c>
      <c r="R160" s="3" t="s">
        <v>997</v>
      </c>
      <c r="S160" s="3">
        <v>0</v>
      </c>
      <c r="T160" s="3" t="s">
        <v>1000</v>
      </c>
      <c r="U160" s="3"/>
      <c r="V160" s="4"/>
    </row>
    <row r="161" spans="1:22" x14ac:dyDescent="0.2">
      <c r="A161" s="20" t="s">
        <v>249</v>
      </c>
      <c r="B161" s="20">
        <v>2975</v>
      </c>
      <c r="C161" s="21" t="s">
        <v>1</v>
      </c>
      <c r="D161" s="21" t="s">
        <v>2</v>
      </c>
      <c r="E161" s="21" t="s">
        <v>90</v>
      </c>
      <c r="F161" s="21" t="s">
        <v>94</v>
      </c>
      <c r="G161" s="21" t="s">
        <v>1778</v>
      </c>
      <c r="H161" s="22" t="str" cm="1">
        <f t="array" ref="H161">Reverse2_6(O161)</f>
        <v>00-010201</v>
      </c>
      <c r="I161" s="45" cm="1">
        <f t="array" ref="I161">HEX2DEC(Reverse(P161))</f>
        <v>93631153</v>
      </c>
      <c r="J161" s="45" cm="1">
        <f t="array" ref="J161">IF(Q161&lt;&gt;0, HEX2DEC(Reverse(Q161))-$I161,"")</f>
        <v>17</v>
      </c>
      <c r="K161" s="45" cm="1">
        <f t="array" ref="K161">IF(R161&lt;&gt;0, HEX2DEC(Reverse(R161))-$I161,"")</f>
        <v>57</v>
      </c>
      <c r="L161" s="45" t="str" cm="1">
        <f t="array" ref="L161">IF(S161&lt;&gt;0, HEX2DEC(Reverse(S161))-$I161,"")</f>
        <v/>
      </c>
      <c r="M161" s="45" cm="1">
        <f t="array" ref="M161">IF(T161&lt;&gt;0, HEX2DEC(Reverse(T161))-$I161,"")</f>
        <v>58</v>
      </c>
      <c r="O161" s="3">
        <v>1020100</v>
      </c>
      <c r="P161" s="3" t="s">
        <v>114</v>
      </c>
      <c r="Q161" s="3" t="s">
        <v>146</v>
      </c>
      <c r="R161" s="3" t="s">
        <v>1000</v>
      </c>
      <c r="S161" s="3">
        <v>0</v>
      </c>
      <c r="T161" s="3" t="s">
        <v>1003</v>
      </c>
      <c r="U161" s="3"/>
      <c r="V161" s="4"/>
    </row>
    <row r="162" spans="1:22" x14ac:dyDescent="0.2">
      <c r="A162" s="20" t="s">
        <v>250</v>
      </c>
      <c r="B162" s="20">
        <v>2976</v>
      </c>
      <c r="C162" s="21" t="s">
        <v>1</v>
      </c>
      <c r="D162" s="21" t="s">
        <v>2</v>
      </c>
      <c r="E162" s="21" t="s">
        <v>90</v>
      </c>
      <c r="F162" s="21" t="s">
        <v>94</v>
      </c>
      <c r="G162" s="21" t="s">
        <v>1778</v>
      </c>
      <c r="H162" s="22" t="str" cm="1">
        <f t="array" ref="H162">Reverse2_6(O162)</f>
        <v>00-010201</v>
      </c>
      <c r="I162" s="45" cm="1">
        <f t="array" ref="I162">HEX2DEC(Reverse(P162))</f>
        <v>93631153</v>
      </c>
      <c r="J162" s="45" cm="1">
        <f t="array" ref="J162">IF(Q162&lt;&gt;0, HEX2DEC(Reverse(Q162))-$I162,"")</f>
        <v>17</v>
      </c>
      <c r="K162" s="45" cm="1">
        <f t="array" ref="K162">IF(R162&lt;&gt;0, HEX2DEC(Reverse(R162))-$I162,"")</f>
        <v>58</v>
      </c>
      <c r="L162" s="45" t="str" cm="1">
        <f t="array" ref="L162">IF(S162&lt;&gt;0, HEX2DEC(Reverse(S162))-$I162,"")</f>
        <v/>
      </c>
      <c r="M162" s="45" cm="1">
        <f t="array" ref="M162">IF(T162&lt;&gt;0, HEX2DEC(Reverse(T162))-$I162,"")</f>
        <v>59</v>
      </c>
      <c r="O162" s="3">
        <v>1020100</v>
      </c>
      <c r="P162" s="3" t="s">
        <v>114</v>
      </c>
      <c r="Q162" s="3" t="s">
        <v>146</v>
      </c>
      <c r="R162" s="3" t="s">
        <v>1003</v>
      </c>
      <c r="S162" s="3">
        <v>0</v>
      </c>
      <c r="T162" s="3" t="s">
        <v>1006</v>
      </c>
      <c r="U162" s="3"/>
      <c r="V162" s="4"/>
    </row>
    <row r="163" spans="1:22" x14ac:dyDescent="0.2">
      <c r="A163" s="16" t="s">
        <v>251</v>
      </c>
      <c r="B163" s="16">
        <v>2991</v>
      </c>
      <c r="C163" s="15" t="s">
        <v>2</v>
      </c>
      <c r="D163" s="15" t="s">
        <v>1</v>
      </c>
      <c r="E163" s="15" t="s">
        <v>92</v>
      </c>
      <c r="F163" s="15" t="s">
        <v>96</v>
      </c>
      <c r="G163" s="15"/>
      <c r="H163" s="17" t="str" cm="1">
        <f t="array" ref="H163">Reverse2_6(O163)</f>
        <v>00-010101</v>
      </c>
      <c r="I163" s="18" cm="1">
        <f t="array" ref="I163">HEX2DEC(Reverse(P163))</f>
        <v>93631153</v>
      </c>
      <c r="J163" s="18" cm="1">
        <f t="array" ref="J163">IF(Q163&lt;&gt;0, HEX2DEC(Reverse(Q163))-$I163,"")</f>
        <v>59</v>
      </c>
      <c r="K163" s="18" cm="1">
        <f t="array" ref="K163">IF(R163&lt;&gt;0, HEX2DEC(Reverse(R163))-$I163,"")</f>
        <v>17</v>
      </c>
      <c r="L163" s="18" cm="1">
        <f t="array" ref="L163">IF(S163&lt;&gt;0, HEX2DEC(Reverse(S163))-$I163,"")</f>
        <v>60</v>
      </c>
      <c r="M163" s="18" cm="1">
        <f t="array" ref="M163">IF(T163&lt;&gt;0, HEX2DEC(Reverse(T163))-$I163,"")</f>
        <v>18</v>
      </c>
      <c r="O163" s="3">
        <v>1010100</v>
      </c>
      <c r="P163" s="3" t="s">
        <v>114</v>
      </c>
      <c r="Q163" s="3" t="s">
        <v>1006</v>
      </c>
      <c r="R163" s="19" t="s">
        <v>146</v>
      </c>
      <c r="S163" s="3" t="s">
        <v>1009</v>
      </c>
      <c r="T163" s="3" t="s">
        <v>148</v>
      </c>
      <c r="U163" s="3" t="s">
        <v>1010</v>
      </c>
      <c r="V163" s="4" t="s">
        <v>1011</v>
      </c>
    </row>
    <row r="164" spans="1:22" x14ac:dyDescent="0.2">
      <c r="A164" s="20" t="s">
        <v>252</v>
      </c>
      <c r="B164" s="20">
        <v>2993</v>
      </c>
      <c r="C164" s="21" t="s">
        <v>1</v>
      </c>
      <c r="D164" s="21" t="s">
        <v>2</v>
      </c>
      <c r="E164" s="21" t="s">
        <v>90</v>
      </c>
      <c r="F164" s="21" t="s">
        <v>94</v>
      </c>
      <c r="G164" s="21" t="s">
        <v>1778</v>
      </c>
      <c r="H164" s="22" t="str" cm="1">
        <f t="array" ref="H164">Reverse2_6(O164)</f>
        <v>00-010201</v>
      </c>
      <c r="I164" s="45" cm="1">
        <f t="array" ref="I164">HEX2DEC(Reverse(P164))</f>
        <v>93631153</v>
      </c>
      <c r="J164" s="45" cm="1">
        <f t="array" ref="J164">IF(Q164&lt;&gt;0, HEX2DEC(Reverse(Q164))-$I164,"")</f>
        <v>17</v>
      </c>
      <c r="K164" s="45" cm="1">
        <f t="array" ref="K164">IF(R164&lt;&gt;0, HEX2DEC(Reverse(R164))-$I164,"")</f>
        <v>59</v>
      </c>
      <c r="L164" s="45" t="str" cm="1">
        <f t="array" ref="L164">IF(S164&lt;&gt;0, HEX2DEC(Reverse(S164))-$I164,"")</f>
        <v/>
      </c>
      <c r="M164" s="45" cm="1">
        <f t="array" ref="M164">IF(T164&lt;&gt;0, HEX2DEC(Reverse(T164))-$I164,"")</f>
        <v>60</v>
      </c>
      <c r="O164" s="3">
        <v>1020100</v>
      </c>
      <c r="P164" s="3" t="s">
        <v>114</v>
      </c>
      <c r="Q164" s="3" t="s">
        <v>146</v>
      </c>
      <c r="R164" s="3" t="s">
        <v>1006</v>
      </c>
      <c r="S164" s="3">
        <v>0</v>
      </c>
      <c r="T164" s="3" t="s">
        <v>1009</v>
      </c>
      <c r="U164" s="3"/>
      <c r="V164" s="4"/>
    </row>
    <row r="165" spans="1:22" x14ac:dyDescent="0.2">
      <c r="A165" s="16" t="s">
        <v>253</v>
      </c>
      <c r="B165" s="16">
        <v>2994</v>
      </c>
      <c r="C165" s="15" t="s">
        <v>2</v>
      </c>
      <c r="D165" s="15" t="s">
        <v>1</v>
      </c>
      <c r="E165" s="15" t="s">
        <v>92</v>
      </c>
      <c r="F165" s="15" t="s">
        <v>96</v>
      </c>
      <c r="G165" s="15"/>
      <c r="H165" s="17" t="str" cm="1">
        <f t="array" ref="H165">Reverse2_6(O165)</f>
        <v>00-010101</v>
      </c>
      <c r="I165" s="18" cm="1">
        <f t="array" ref="I165">HEX2DEC(Reverse(P165))</f>
        <v>93631153</v>
      </c>
      <c r="J165" s="18" cm="1">
        <f t="array" ref="J165">IF(Q165&lt;&gt;0, HEX2DEC(Reverse(Q165))-$I165,"")</f>
        <v>60</v>
      </c>
      <c r="K165" s="18" cm="1">
        <f t="array" ref="K165">IF(R165&lt;&gt;0, HEX2DEC(Reverse(R165))-$I165,"")</f>
        <v>17</v>
      </c>
      <c r="L165" s="18" cm="1">
        <f t="array" ref="L165">IF(S165&lt;&gt;0, HEX2DEC(Reverse(S165))-$I165,"")</f>
        <v>61</v>
      </c>
      <c r="M165" s="18" cm="1">
        <f t="array" ref="M165">IF(T165&lt;&gt;0, HEX2DEC(Reverse(T165))-$I165,"")</f>
        <v>18</v>
      </c>
      <c r="O165" s="3">
        <v>1010100</v>
      </c>
      <c r="P165" s="3" t="s">
        <v>114</v>
      </c>
      <c r="Q165" s="3" t="s">
        <v>1009</v>
      </c>
      <c r="R165" s="19" t="s">
        <v>146</v>
      </c>
      <c r="S165" s="3" t="s">
        <v>1012</v>
      </c>
      <c r="T165" s="3" t="s">
        <v>148</v>
      </c>
      <c r="U165" s="3" t="s">
        <v>1013</v>
      </c>
      <c r="V165" s="4" t="s">
        <v>1014</v>
      </c>
    </row>
    <row r="166" spans="1:22" x14ac:dyDescent="0.2">
      <c r="A166" s="16" t="s">
        <v>254</v>
      </c>
      <c r="B166" s="16">
        <v>2995</v>
      </c>
      <c r="C166" s="15" t="s">
        <v>2</v>
      </c>
      <c r="D166" s="15" t="s">
        <v>1</v>
      </c>
      <c r="E166" s="15" t="s">
        <v>92</v>
      </c>
      <c r="F166" s="15" t="s">
        <v>96</v>
      </c>
      <c r="G166" s="15"/>
      <c r="H166" s="17" t="str" cm="1">
        <f t="array" ref="H166">Reverse2_6(O166)</f>
        <v>00-010101</v>
      </c>
      <c r="I166" s="18" cm="1">
        <f t="array" ref="I166">HEX2DEC(Reverse(P166))</f>
        <v>93631153</v>
      </c>
      <c r="J166" s="18" cm="1">
        <f t="array" ref="J166">IF(Q166&lt;&gt;0, HEX2DEC(Reverse(Q166))-$I166,"")</f>
        <v>61</v>
      </c>
      <c r="K166" s="18" cm="1">
        <f t="array" ref="K166">IF(R166&lt;&gt;0, HEX2DEC(Reverse(R166))-$I166,"")</f>
        <v>17</v>
      </c>
      <c r="L166" s="18" cm="1">
        <f t="array" ref="L166">IF(S166&lt;&gt;0, HEX2DEC(Reverse(S166))-$I166,"")</f>
        <v>62</v>
      </c>
      <c r="M166" s="18" cm="1">
        <f t="array" ref="M166">IF(T166&lt;&gt;0, HEX2DEC(Reverse(T166))-$I166,"")</f>
        <v>18</v>
      </c>
      <c r="O166" s="3">
        <v>1010100</v>
      </c>
      <c r="P166" s="3" t="s">
        <v>114</v>
      </c>
      <c r="Q166" s="3" t="s">
        <v>1012</v>
      </c>
      <c r="R166" s="19" t="s">
        <v>146</v>
      </c>
      <c r="S166" s="3" t="s">
        <v>1015</v>
      </c>
      <c r="T166" s="3" t="s">
        <v>148</v>
      </c>
      <c r="U166" s="3" t="s">
        <v>1016</v>
      </c>
      <c r="V166" s="4" t="s">
        <v>1017</v>
      </c>
    </row>
    <row r="167" spans="1:22" x14ac:dyDescent="0.2">
      <c r="A167" s="16" t="s">
        <v>255</v>
      </c>
      <c r="B167" s="16">
        <v>2996</v>
      </c>
      <c r="C167" s="15" t="s">
        <v>2</v>
      </c>
      <c r="D167" s="15" t="s">
        <v>1</v>
      </c>
      <c r="E167" s="15" t="s">
        <v>92</v>
      </c>
      <c r="F167" s="15" t="s">
        <v>96</v>
      </c>
      <c r="G167" s="15"/>
      <c r="H167" s="17" t="str" cm="1">
        <f t="array" ref="H167">Reverse2_6(O167)</f>
        <v>00-010101</v>
      </c>
      <c r="I167" s="18" cm="1">
        <f t="array" ref="I167">HEX2DEC(Reverse(P167))</f>
        <v>93631153</v>
      </c>
      <c r="J167" s="18" cm="1">
        <f t="array" ref="J167">IF(Q167&lt;&gt;0, HEX2DEC(Reverse(Q167))-$I167,"")</f>
        <v>62</v>
      </c>
      <c r="K167" s="18" cm="1">
        <f t="array" ref="K167">IF(R167&lt;&gt;0, HEX2DEC(Reverse(R167))-$I167,"")</f>
        <v>17</v>
      </c>
      <c r="L167" s="18" cm="1">
        <f t="array" ref="L167">IF(S167&lt;&gt;0, HEX2DEC(Reverse(S167))-$I167,"")</f>
        <v>63</v>
      </c>
      <c r="M167" s="18" cm="1">
        <f t="array" ref="M167">IF(T167&lt;&gt;0, HEX2DEC(Reverse(T167))-$I167,"")</f>
        <v>18</v>
      </c>
      <c r="O167" s="3">
        <v>1010100</v>
      </c>
      <c r="P167" s="3" t="s">
        <v>114</v>
      </c>
      <c r="Q167" s="3" t="s">
        <v>1015</v>
      </c>
      <c r="R167" s="19" t="s">
        <v>146</v>
      </c>
      <c r="S167" s="3" t="s">
        <v>1018</v>
      </c>
      <c r="T167" s="3" t="s">
        <v>148</v>
      </c>
      <c r="U167" s="3" t="s">
        <v>1019</v>
      </c>
      <c r="V167" s="4" t="s">
        <v>1020</v>
      </c>
    </row>
    <row r="168" spans="1:22" x14ac:dyDescent="0.2">
      <c r="A168" s="16" t="s">
        <v>256</v>
      </c>
      <c r="B168" s="16">
        <v>2997</v>
      </c>
      <c r="C168" s="15" t="s">
        <v>2</v>
      </c>
      <c r="D168" s="15" t="s">
        <v>1</v>
      </c>
      <c r="E168" s="15" t="s">
        <v>92</v>
      </c>
      <c r="F168" s="15" t="s">
        <v>96</v>
      </c>
      <c r="G168" s="15"/>
      <c r="H168" s="17" t="str" cm="1">
        <f t="array" ref="H168">Reverse2_6(O168)</f>
        <v>00-010101</v>
      </c>
      <c r="I168" s="18" cm="1">
        <f t="array" ref="I168">HEX2DEC(Reverse(P168))</f>
        <v>93631153</v>
      </c>
      <c r="J168" s="18" cm="1">
        <f t="array" ref="J168">IF(Q168&lt;&gt;0, HEX2DEC(Reverse(Q168))-$I168,"")</f>
        <v>63</v>
      </c>
      <c r="K168" s="18" cm="1">
        <f t="array" ref="K168">IF(R168&lt;&gt;0, HEX2DEC(Reverse(R168))-$I168,"")</f>
        <v>17</v>
      </c>
      <c r="L168" s="18" cm="1">
        <f t="array" ref="L168">IF(S168&lt;&gt;0, HEX2DEC(Reverse(S168))-$I168,"")</f>
        <v>64</v>
      </c>
      <c r="M168" s="18" cm="1">
        <f t="array" ref="M168">IF(T168&lt;&gt;0, HEX2DEC(Reverse(T168))-$I168,"")</f>
        <v>18</v>
      </c>
      <c r="O168" s="3">
        <v>1010100</v>
      </c>
      <c r="P168" s="3" t="s">
        <v>114</v>
      </c>
      <c r="Q168" s="3" t="s">
        <v>1018</v>
      </c>
      <c r="R168" s="19" t="s">
        <v>146</v>
      </c>
      <c r="S168" s="3" t="s">
        <v>1021</v>
      </c>
      <c r="T168" s="3" t="s">
        <v>148</v>
      </c>
      <c r="U168" s="3" t="s">
        <v>1022</v>
      </c>
      <c r="V168" s="4" t="s">
        <v>1023</v>
      </c>
    </row>
    <row r="169" spans="1:22" x14ac:dyDescent="0.2">
      <c r="A169" s="16" t="s">
        <v>257</v>
      </c>
      <c r="B169" s="16">
        <v>2998</v>
      </c>
      <c r="C169" s="15" t="s">
        <v>2</v>
      </c>
      <c r="D169" s="15" t="s">
        <v>1</v>
      </c>
      <c r="E169" s="15" t="s">
        <v>92</v>
      </c>
      <c r="F169" s="15" t="s">
        <v>96</v>
      </c>
      <c r="G169" s="15"/>
      <c r="H169" s="17" t="str" cm="1">
        <f t="array" ref="H169">Reverse2_6(O169)</f>
        <v>00-010101</v>
      </c>
      <c r="I169" s="18" cm="1">
        <f t="array" ref="I169">HEX2DEC(Reverse(P169))</f>
        <v>93631153</v>
      </c>
      <c r="J169" s="18" cm="1">
        <f t="array" ref="J169">IF(Q169&lt;&gt;0, HEX2DEC(Reverse(Q169))-$I169,"")</f>
        <v>64</v>
      </c>
      <c r="K169" s="18" cm="1">
        <f t="array" ref="K169">IF(R169&lt;&gt;0, HEX2DEC(Reverse(R169))-$I169,"")</f>
        <v>17</v>
      </c>
      <c r="L169" s="18" cm="1">
        <f t="array" ref="L169">IF(S169&lt;&gt;0, HEX2DEC(Reverse(S169))-$I169,"")</f>
        <v>65</v>
      </c>
      <c r="M169" s="18" cm="1">
        <f t="array" ref="M169">IF(T169&lt;&gt;0, HEX2DEC(Reverse(T169))-$I169,"")</f>
        <v>18</v>
      </c>
      <c r="O169" s="3">
        <v>1010100</v>
      </c>
      <c r="P169" s="3" t="s">
        <v>114</v>
      </c>
      <c r="Q169" s="3" t="s">
        <v>1021</v>
      </c>
      <c r="R169" s="19" t="s">
        <v>146</v>
      </c>
      <c r="S169" s="3" t="s">
        <v>1024</v>
      </c>
      <c r="T169" s="3" t="s">
        <v>148</v>
      </c>
      <c r="U169" s="3" t="s">
        <v>1025</v>
      </c>
      <c r="V169" s="4" t="s">
        <v>1026</v>
      </c>
    </row>
    <row r="170" spans="1:22" x14ac:dyDescent="0.2">
      <c r="A170" s="20" t="s">
        <v>258</v>
      </c>
      <c r="B170" s="20">
        <v>2999</v>
      </c>
      <c r="C170" s="21" t="s">
        <v>1</v>
      </c>
      <c r="D170" s="21" t="s">
        <v>2</v>
      </c>
      <c r="E170" s="21" t="s">
        <v>90</v>
      </c>
      <c r="F170" s="21" t="s">
        <v>94</v>
      </c>
      <c r="G170" s="21" t="s">
        <v>1778</v>
      </c>
      <c r="H170" s="22" t="str" cm="1">
        <f t="array" ref="H170">Reverse2_6(O170)</f>
        <v>00-010201</v>
      </c>
      <c r="I170" s="45" cm="1">
        <f t="array" ref="I170">HEX2DEC(Reverse(P170))</f>
        <v>93631153</v>
      </c>
      <c r="J170" s="45" cm="1">
        <f t="array" ref="J170">IF(Q170&lt;&gt;0, HEX2DEC(Reverse(Q170))-$I170,"")</f>
        <v>17</v>
      </c>
      <c r="K170" s="45" cm="1">
        <f t="array" ref="K170">IF(R170&lt;&gt;0, HEX2DEC(Reverse(R170))-$I170,"")</f>
        <v>60</v>
      </c>
      <c r="L170" s="45" t="str" cm="1">
        <f t="array" ref="L170">IF(S170&lt;&gt;0, HEX2DEC(Reverse(S170))-$I170,"")</f>
        <v/>
      </c>
      <c r="M170" s="45" cm="1">
        <f t="array" ref="M170">IF(T170&lt;&gt;0, HEX2DEC(Reverse(T170))-$I170,"")</f>
        <v>61</v>
      </c>
      <c r="O170" s="3">
        <v>1020100</v>
      </c>
      <c r="P170" s="3" t="s">
        <v>114</v>
      </c>
      <c r="Q170" s="3" t="s">
        <v>146</v>
      </c>
      <c r="R170" s="3" t="s">
        <v>1009</v>
      </c>
      <c r="S170" s="3">
        <v>0</v>
      </c>
      <c r="T170" s="3" t="s">
        <v>1012</v>
      </c>
      <c r="U170" s="3"/>
      <c r="V170" s="4"/>
    </row>
    <row r="171" spans="1:22" x14ac:dyDescent="0.2">
      <c r="A171" s="20" t="s">
        <v>259</v>
      </c>
      <c r="B171" s="20">
        <v>3000</v>
      </c>
      <c r="C171" s="21" t="s">
        <v>1</v>
      </c>
      <c r="D171" s="21" t="s">
        <v>2</v>
      </c>
      <c r="E171" s="21" t="s">
        <v>90</v>
      </c>
      <c r="F171" s="21" t="s">
        <v>94</v>
      </c>
      <c r="G171" s="21" t="s">
        <v>1778</v>
      </c>
      <c r="H171" s="22" t="str" cm="1">
        <f t="array" ref="H171">Reverse2_6(O171)</f>
        <v>00-010201</v>
      </c>
      <c r="I171" s="45" cm="1">
        <f t="array" ref="I171">HEX2DEC(Reverse(P171))</f>
        <v>93631153</v>
      </c>
      <c r="J171" s="45" cm="1">
        <f t="array" ref="J171">IF(Q171&lt;&gt;0, HEX2DEC(Reverse(Q171))-$I171,"")</f>
        <v>17</v>
      </c>
      <c r="K171" s="45" cm="1">
        <f t="array" ref="K171">IF(R171&lt;&gt;0, HEX2DEC(Reverse(R171))-$I171,"")</f>
        <v>61</v>
      </c>
      <c r="L171" s="45" t="str" cm="1">
        <f t="array" ref="L171">IF(S171&lt;&gt;0, HEX2DEC(Reverse(S171))-$I171,"")</f>
        <v/>
      </c>
      <c r="M171" s="45" cm="1">
        <f t="array" ref="M171">IF(T171&lt;&gt;0, HEX2DEC(Reverse(T171))-$I171,"")</f>
        <v>62</v>
      </c>
      <c r="O171" s="3">
        <v>1020100</v>
      </c>
      <c r="P171" s="3" t="s">
        <v>114</v>
      </c>
      <c r="Q171" s="3" t="s">
        <v>146</v>
      </c>
      <c r="R171" s="3" t="s">
        <v>1012</v>
      </c>
      <c r="S171" s="3">
        <v>0</v>
      </c>
      <c r="T171" s="3" t="s">
        <v>1015</v>
      </c>
      <c r="U171" s="3"/>
      <c r="V171" s="4"/>
    </row>
    <row r="172" spans="1:22" x14ac:dyDescent="0.2">
      <c r="A172" s="20" t="s">
        <v>260</v>
      </c>
      <c r="B172" s="20">
        <v>3001</v>
      </c>
      <c r="C172" s="21" t="s">
        <v>1</v>
      </c>
      <c r="D172" s="21" t="s">
        <v>2</v>
      </c>
      <c r="E172" s="21" t="s">
        <v>90</v>
      </c>
      <c r="F172" s="21" t="s">
        <v>94</v>
      </c>
      <c r="G172" s="21" t="s">
        <v>1778</v>
      </c>
      <c r="H172" s="22" t="str" cm="1">
        <f t="array" ref="H172">Reverse2_6(O172)</f>
        <v>00-010201</v>
      </c>
      <c r="I172" s="45" cm="1">
        <f t="array" ref="I172">HEX2DEC(Reverse(P172))</f>
        <v>93631153</v>
      </c>
      <c r="J172" s="45" cm="1">
        <f t="array" ref="J172">IF(Q172&lt;&gt;0, HEX2DEC(Reverse(Q172))-$I172,"")</f>
        <v>17</v>
      </c>
      <c r="K172" s="45" cm="1">
        <f t="array" ref="K172">IF(R172&lt;&gt;0, HEX2DEC(Reverse(R172))-$I172,"")</f>
        <v>62</v>
      </c>
      <c r="L172" s="45" t="str" cm="1">
        <f t="array" ref="L172">IF(S172&lt;&gt;0, HEX2DEC(Reverse(S172))-$I172,"")</f>
        <v/>
      </c>
      <c r="M172" s="45" cm="1">
        <f t="array" ref="M172">IF(T172&lt;&gt;0, HEX2DEC(Reverse(T172))-$I172,"")</f>
        <v>63</v>
      </c>
      <c r="O172" s="3">
        <v>1020100</v>
      </c>
      <c r="P172" s="3" t="s">
        <v>114</v>
      </c>
      <c r="Q172" s="3" t="s">
        <v>146</v>
      </c>
      <c r="R172" s="3" t="s">
        <v>1015</v>
      </c>
      <c r="S172" s="3">
        <v>0</v>
      </c>
      <c r="T172" s="3" t="s">
        <v>1018</v>
      </c>
      <c r="U172" s="3"/>
      <c r="V172" s="4"/>
    </row>
    <row r="173" spans="1:22" x14ac:dyDescent="0.2">
      <c r="A173" s="20" t="s">
        <v>261</v>
      </c>
      <c r="B173" s="20">
        <v>3002</v>
      </c>
      <c r="C173" s="21" t="s">
        <v>1</v>
      </c>
      <c r="D173" s="21" t="s">
        <v>2</v>
      </c>
      <c r="E173" s="21" t="s">
        <v>90</v>
      </c>
      <c r="F173" s="21" t="s">
        <v>94</v>
      </c>
      <c r="G173" s="21" t="s">
        <v>1778</v>
      </c>
      <c r="H173" s="22" t="str" cm="1">
        <f t="array" ref="H173">Reverse2_6(O173)</f>
        <v>00-010201</v>
      </c>
      <c r="I173" s="45" cm="1">
        <f t="array" ref="I173">HEX2DEC(Reverse(P173))</f>
        <v>93631153</v>
      </c>
      <c r="J173" s="45" cm="1">
        <f t="array" ref="J173">IF(Q173&lt;&gt;0, HEX2DEC(Reverse(Q173))-$I173,"")</f>
        <v>17</v>
      </c>
      <c r="K173" s="45" cm="1">
        <f t="array" ref="K173">IF(R173&lt;&gt;0, HEX2DEC(Reverse(R173))-$I173,"")</f>
        <v>63</v>
      </c>
      <c r="L173" s="45" t="str" cm="1">
        <f t="array" ref="L173">IF(S173&lt;&gt;0, HEX2DEC(Reverse(S173))-$I173,"")</f>
        <v/>
      </c>
      <c r="M173" s="45" cm="1">
        <f t="array" ref="M173">IF(T173&lt;&gt;0, HEX2DEC(Reverse(T173))-$I173,"")</f>
        <v>64</v>
      </c>
      <c r="O173" s="3">
        <v>1020100</v>
      </c>
      <c r="P173" s="3" t="s">
        <v>114</v>
      </c>
      <c r="Q173" s="3" t="s">
        <v>146</v>
      </c>
      <c r="R173" s="3" t="s">
        <v>1018</v>
      </c>
      <c r="S173" s="3">
        <v>0</v>
      </c>
      <c r="T173" s="3" t="s">
        <v>1021</v>
      </c>
      <c r="U173" s="3"/>
      <c r="V173" s="4"/>
    </row>
    <row r="174" spans="1:22" x14ac:dyDescent="0.2">
      <c r="A174" s="20" t="s">
        <v>262</v>
      </c>
      <c r="B174" s="20">
        <v>3003</v>
      </c>
      <c r="C174" s="21" t="s">
        <v>1</v>
      </c>
      <c r="D174" s="21" t="s">
        <v>2</v>
      </c>
      <c r="E174" s="21" t="s">
        <v>90</v>
      </c>
      <c r="F174" s="21" t="s">
        <v>94</v>
      </c>
      <c r="G174" s="21" t="s">
        <v>1778</v>
      </c>
      <c r="H174" s="22" t="str" cm="1">
        <f t="array" ref="H174">Reverse2_6(O174)</f>
        <v>00-010201</v>
      </c>
      <c r="I174" s="45" cm="1">
        <f t="array" ref="I174">HEX2DEC(Reverse(P174))</f>
        <v>93631153</v>
      </c>
      <c r="J174" s="45" cm="1">
        <f t="array" ref="J174">IF(Q174&lt;&gt;0, HEX2DEC(Reverse(Q174))-$I174,"")</f>
        <v>17</v>
      </c>
      <c r="K174" s="45" cm="1">
        <f t="array" ref="K174">IF(R174&lt;&gt;0, HEX2DEC(Reverse(R174))-$I174,"")</f>
        <v>64</v>
      </c>
      <c r="L174" s="45" t="str" cm="1">
        <f t="array" ref="L174">IF(S174&lt;&gt;0, HEX2DEC(Reverse(S174))-$I174,"")</f>
        <v/>
      </c>
      <c r="M174" s="45" cm="1">
        <f t="array" ref="M174">IF(T174&lt;&gt;0, HEX2DEC(Reverse(T174))-$I174,"")</f>
        <v>65</v>
      </c>
      <c r="O174" s="3">
        <v>1020100</v>
      </c>
      <c r="P174" s="3" t="s">
        <v>114</v>
      </c>
      <c r="Q174" s="3" t="s">
        <v>146</v>
      </c>
      <c r="R174" s="3" t="s">
        <v>1021</v>
      </c>
      <c r="S174" s="3">
        <v>0</v>
      </c>
      <c r="T174" s="3" t="s">
        <v>1024</v>
      </c>
      <c r="U174" s="3"/>
      <c r="V174" s="4"/>
    </row>
    <row r="175" spans="1:22" x14ac:dyDescent="0.2">
      <c r="A175" s="16" t="s">
        <v>263</v>
      </c>
      <c r="B175" s="16">
        <v>3004</v>
      </c>
      <c r="C175" s="15" t="s">
        <v>2</v>
      </c>
      <c r="D175" s="15" t="s">
        <v>1</v>
      </c>
      <c r="E175" s="15" t="s">
        <v>92</v>
      </c>
      <c r="F175" s="15" t="s">
        <v>96</v>
      </c>
      <c r="G175" s="15"/>
      <c r="H175" s="17" t="str" cm="1">
        <f t="array" ref="H175">Reverse2_6(O175)</f>
        <v>00-010101</v>
      </c>
      <c r="I175" s="18" cm="1">
        <f t="array" ref="I175">HEX2DEC(Reverse(P175))</f>
        <v>93631153</v>
      </c>
      <c r="J175" s="18" cm="1">
        <f t="array" ref="J175">IF(Q175&lt;&gt;0, HEX2DEC(Reverse(Q175))-$I175,"")</f>
        <v>65</v>
      </c>
      <c r="K175" s="18" cm="1">
        <f t="array" ref="K175">IF(R175&lt;&gt;0, HEX2DEC(Reverse(R175))-$I175,"")</f>
        <v>17</v>
      </c>
      <c r="L175" s="18" cm="1">
        <f t="array" ref="L175">IF(S175&lt;&gt;0, HEX2DEC(Reverse(S175))-$I175,"")</f>
        <v>66</v>
      </c>
      <c r="M175" s="18" cm="1">
        <f t="array" ref="M175">IF(T175&lt;&gt;0, HEX2DEC(Reverse(T175))-$I175,"")</f>
        <v>18</v>
      </c>
      <c r="O175" s="3">
        <v>1010100</v>
      </c>
      <c r="P175" s="3" t="s">
        <v>114</v>
      </c>
      <c r="Q175" s="3" t="s">
        <v>1024</v>
      </c>
      <c r="R175" s="19" t="s">
        <v>146</v>
      </c>
      <c r="S175" s="3" t="s">
        <v>1027</v>
      </c>
      <c r="T175" s="3" t="s">
        <v>148</v>
      </c>
      <c r="U175" s="3" t="s">
        <v>1028</v>
      </c>
      <c r="V175" s="4" t="s">
        <v>1029</v>
      </c>
    </row>
    <row r="176" spans="1:22" x14ac:dyDescent="0.2">
      <c r="A176" s="20" t="s">
        <v>264</v>
      </c>
      <c r="B176" s="20">
        <v>3005</v>
      </c>
      <c r="C176" s="21" t="s">
        <v>1</v>
      </c>
      <c r="D176" s="21" t="s">
        <v>2</v>
      </c>
      <c r="E176" s="21" t="s">
        <v>90</v>
      </c>
      <c r="F176" s="21" t="s">
        <v>94</v>
      </c>
      <c r="G176" s="21" t="s">
        <v>1778</v>
      </c>
      <c r="H176" s="22" t="str" cm="1">
        <f t="array" ref="H176">Reverse2_6(O176)</f>
        <v>00-010201</v>
      </c>
      <c r="I176" s="45" cm="1">
        <f t="array" ref="I176">HEX2DEC(Reverse(P176))</f>
        <v>93631153</v>
      </c>
      <c r="J176" s="45" cm="1">
        <f t="array" ref="J176">IF(Q176&lt;&gt;0, HEX2DEC(Reverse(Q176))-$I176,"")</f>
        <v>17</v>
      </c>
      <c r="K176" s="45" cm="1">
        <f t="array" ref="K176">IF(R176&lt;&gt;0, HEX2DEC(Reverse(R176))-$I176,"")</f>
        <v>65</v>
      </c>
      <c r="L176" s="45" t="str" cm="1">
        <f t="array" ref="L176">IF(S176&lt;&gt;0, HEX2DEC(Reverse(S176))-$I176,"")</f>
        <v/>
      </c>
      <c r="M176" s="45" cm="1">
        <f t="array" ref="M176">IF(T176&lt;&gt;0, HEX2DEC(Reverse(T176))-$I176,"")</f>
        <v>66</v>
      </c>
      <c r="O176" s="3">
        <v>1020100</v>
      </c>
      <c r="P176" s="3" t="s">
        <v>114</v>
      </c>
      <c r="Q176" s="3" t="s">
        <v>146</v>
      </c>
      <c r="R176" s="3" t="s">
        <v>1024</v>
      </c>
      <c r="S176" s="3">
        <v>0</v>
      </c>
      <c r="T176" s="3" t="s">
        <v>1027</v>
      </c>
      <c r="U176" s="3"/>
      <c r="V176" s="4"/>
    </row>
    <row r="177" spans="1:22" x14ac:dyDescent="0.2">
      <c r="A177" s="16" t="s">
        <v>265</v>
      </c>
      <c r="B177" s="16">
        <v>3006</v>
      </c>
      <c r="C177" s="15" t="s">
        <v>2</v>
      </c>
      <c r="D177" s="15" t="s">
        <v>1</v>
      </c>
      <c r="E177" s="15" t="s">
        <v>92</v>
      </c>
      <c r="F177" s="15" t="s">
        <v>96</v>
      </c>
      <c r="G177" s="15"/>
      <c r="H177" s="17" t="str" cm="1">
        <f t="array" ref="H177">Reverse2_6(O177)</f>
        <v>00-010101</v>
      </c>
      <c r="I177" s="18" cm="1">
        <f t="array" ref="I177">HEX2DEC(Reverse(P177))</f>
        <v>93631153</v>
      </c>
      <c r="J177" s="18" cm="1">
        <f t="array" ref="J177">IF(Q177&lt;&gt;0, HEX2DEC(Reverse(Q177))-$I177,"")</f>
        <v>66</v>
      </c>
      <c r="K177" s="18" cm="1">
        <f t="array" ref="K177">IF(R177&lt;&gt;0, HEX2DEC(Reverse(R177))-$I177,"")</f>
        <v>17</v>
      </c>
      <c r="L177" s="18" cm="1">
        <f t="array" ref="L177">IF(S177&lt;&gt;0, HEX2DEC(Reverse(S177))-$I177,"")</f>
        <v>67</v>
      </c>
      <c r="M177" s="18" cm="1">
        <f t="array" ref="M177">IF(T177&lt;&gt;0, HEX2DEC(Reverse(T177))-$I177,"")</f>
        <v>18</v>
      </c>
      <c r="O177" s="3">
        <v>1010100</v>
      </c>
      <c r="P177" s="3" t="s">
        <v>114</v>
      </c>
      <c r="Q177" s="3" t="s">
        <v>1027</v>
      </c>
      <c r="R177" s="19" t="s">
        <v>146</v>
      </c>
      <c r="S177" s="3" t="s">
        <v>1030</v>
      </c>
      <c r="T177" s="3" t="s">
        <v>148</v>
      </c>
      <c r="U177" s="3" t="s">
        <v>1031</v>
      </c>
      <c r="V177" s="4" t="s">
        <v>1032</v>
      </c>
    </row>
    <row r="178" spans="1:22" x14ac:dyDescent="0.2">
      <c r="A178" s="16" t="s">
        <v>266</v>
      </c>
      <c r="B178" s="16">
        <v>3007</v>
      </c>
      <c r="C178" s="15" t="s">
        <v>2</v>
      </c>
      <c r="D178" s="15" t="s">
        <v>1</v>
      </c>
      <c r="E178" s="15" t="s">
        <v>92</v>
      </c>
      <c r="F178" s="15" t="s">
        <v>96</v>
      </c>
      <c r="G178" s="15"/>
      <c r="H178" s="17" t="str" cm="1">
        <f t="array" ref="H178">Reverse2_6(O178)</f>
        <v>00-010101</v>
      </c>
      <c r="I178" s="18" cm="1">
        <f t="array" ref="I178">HEX2DEC(Reverse(P178))</f>
        <v>93631153</v>
      </c>
      <c r="J178" s="18" cm="1">
        <f t="array" ref="J178">IF(Q178&lt;&gt;0, HEX2DEC(Reverse(Q178))-$I178,"")</f>
        <v>67</v>
      </c>
      <c r="K178" s="18" cm="1">
        <f t="array" ref="K178">IF(R178&lt;&gt;0, HEX2DEC(Reverse(R178))-$I178,"")</f>
        <v>17</v>
      </c>
      <c r="L178" s="18" cm="1">
        <f t="array" ref="L178">IF(S178&lt;&gt;0, HEX2DEC(Reverse(S178))-$I178,"")</f>
        <v>68</v>
      </c>
      <c r="M178" s="18" cm="1">
        <f t="array" ref="M178">IF(T178&lt;&gt;0, HEX2DEC(Reverse(T178))-$I178,"")</f>
        <v>18</v>
      </c>
      <c r="O178" s="3">
        <v>1010100</v>
      </c>
      <c r="P178" s="3" t="s">
        <v>114</v>
      </c>
      <c r="Q178" s="3" t="s">
        <v>1030</v>
      </c>
      <c r="R178" s="19" t="s">
        <v>146</v>
      </c>
      <c r="S178" s="3" t="s">
        <v>1033</v>
      </c>
      <c r="T178" s="3" t="s">
        <v>148</v>
      </c>
      <c r="U178" s="3" t="s">
        <v>1034</v>
      </c>
      <c r="V178" s="4" t="s">
        <v>1035</v>
      </c>
    </row>
    <row r="179" spans="1:22" x14ac:dyDescent="0.2">
      <c r="A179" s="20" t="s">
        <v>267</v>
      </c>
      <c r="B179" s="20">
        <v>3008</v>
      </c>
      <c r="C179" s="21" t="s">
        <v>1</v>
      </c>
      <c r="D179" s="21" t="s">
        <v>2</v>
      </c>
      <c r="E179" s="21" t="s">
        <v>90</v>
      </c>
      <c r="F179" s="21" t="s">
        <v>94</v>
      </c>
      <c r="G179" s="21" t="s">
        <v>1778</v>
      </c>
      <c r="H179" s="22" t="str" cm="1">
        <f t="array" ref="H179">Reverse2_6(O179)</f>
        <v>00-010201</v>
      </c>
      <c r="I179" s="45" cm="1">
        <f t="array" ref="I179">HEX2DEC(Reverse(P179))</f>
        <v>93631153</v>
      </c>
      <c r="J179" s="45" cm="1">
        <f t="array" ref="J179">IF(Q179&lt;&gt;0, HEX2DEC(Reverse(Q179))-$I179,"")</f>
        <v>17</v>
      </c>
      <c r="K179" s="45" cm="1">
        <f t="array" ref="K179">IF(R179&lt;&gt;0, HEX2DEC(Reverse(R179))-$I179,"")</f>
        <v>66</v>
      </c>
      <c r="L179" s="45" t="str" cm="1">
        <f t="array" ref="L179">IF(S179&lt;&gt;0, HEX2DEC(Reverse(S179))-$I179,"")</f>
        <v/>
      </c>
      <c r="M179" s="45" cm="1">
        <f t="array" ref="M179">IF(T179&lt;&gt;0, HEX2DEC(Reverse(T179))-$I179,"")</f>
        <v>67</v>
      </c>
      <c r="O179" s="3">
        <v>1020100</v>
      </c>
      <c r="P179" s="3" t="s">
        <v>114</v>
      </c>
      <c r="Q179" s="3" t="s">
        <v>146</v>
      </c>
      <c r="R179" s="3" t="s">
        <v>1027</v>
      </c>
      <c r="S179" s="3">
        <v>0</v>
      </c>
      <c r="T179" s="3" t="s">
        <v>1030</v>
      </c>
      <c r="U179" s="3"/>
      <c r="V179" s="4"/>
    </row>
    <row r="180" spans="1:22" x14ac:dyDescent="0.2">
      <c r="A180" s="20" t="s">
        <v>268</v>
      </c>
      <c r="B180" s="20">
        <v>3009</v>
      </c>
      <c r="C180" s="21" t="s">
        <v>1</v>
      </c>
      <c r="D180" s="21" t="s">
        <v>2</v>
      </c>
      <c r="E180" s="21" t="s">
        <v>90</v>
      </c>
      <c r="F180" s="21" t="s">
        <v>94</v>
      </c>
      <c r="G180" s="21" t="s">
        <v>1778</v>
      </c>
      <c r="H180" s="22" t="str" cm="1">
        <f t="array" ref="H180">Reverse2_6(O180)</f>
        <v>00-010201</v>
      </c>
      <c r="I180" s="45" cm="1">
        <f t="array" ref="I180">HEX2DEC(Reverse(P180))</f>
        <v>93631153</v>
      </c>
      <c r="J180" s="45" cm="1">
        <f t="array" ref="J180">IF(Q180&lt;&gt;0, HEX2DEC(Reverse(Q180))-$I180,"")</f>
        <v>17</v>
      </c>
      <c r="K180" s="45" cm="1">
        <f t="array" ref="K180">IF(R180&lt;&gt;0, HEX2DEC(Reverse(R180))-$I180,"")</f>
        <v>67</v>
      </c>
      <c r="L180" s="45" t="str" cm="1">
        <f t="array" ref="L180">IF(S180&lt;&gt;0, HEX2DEC(Reverse(S180))-$I180,"")</f>
        <v/>
      </c>
      <c r="M180" s="45" cm="1">
        <f t="array" ref="M180">IF(T180&lt;&gt;0, HEX2DEC(Reverse(T180))-$I180,"")</f>
        <v>68</v>
      </c>
      <c r="O180" s="3">
        <v>1020100</v>
      </c>
      <c r="P180" s="3" t="s">
        <v>114</v>
      </c>
      <c r="Q180" s="3" t="s">
        <v>146</v>
      </c>
      <c r="R180" s="3" t="s">
        <v>1030</v>
      </c>
      <c r="S180" s="3">
        <v>0</v>
      </c>
      <c r="T180" s="3" t="s">
        <v>1033</v>
      </c>
      <c r="U180" s="3"/>
      <c r="V180" s="4"/>
    </row>
    <row r="181" spans="1:22" x14ac:dyDescent="0.2">
      <c r="A181" s="16" t="s">
        <v>269</v>
      </c>
      <c r="B181" s="16">
        <v>3010</v>
      </c>
      <c r="C181" s="15" t="s">
        <v>2</v>
      </c>
      <c r="D181" s="15" t="s">
        <v>1</v>
      </c>
      <c r="E181" s="15" t="s">
        <v>92</v>
      </c>
      <c r="F181" s="15" t="s">
        <v>96</v>
      </c>
      <c r="G181" s="15"/>
      <c r="H181" s="17" t="str" cm="1">
        <f t="array" ref="H181">Reverse2_6(O181)</f>
        <v>00-010101</v>
      </c>
      <c r="I181" s="18" cm="1">
        <f t="array" ref="I181">HEX2DEC(Reverse(P181))</f>
        <v>93631153</v>
      </c>
      <c r="J181" s="18" cm="1">
        <f t="array" ref="J181">IF(Q181&lt;&gt;0, HEX2DEC(Reverse(Q181))-$I181,"")</f>
        <v>68</v>
      </c>
      <c r="K181" s="18" cm="1">
        <f t="array" ref="K181">IF(R181&lt;&gt;0, HEX2DEC(Reverse(R181))-$I181,"")</f>
        <v>17</v>
      </c>
      <c r="L181" s="18" cm="1">
        <f t="array" ref="L181">IF(S181&lt;&gt;0, HEX2DEC(Reverse(S181))-$I181,"")</f>
        <v>69</v>
      </c>
      <c r="M181" s="18" cm="1">
        <f t="array" ref="M181">IF(T181&lt;&gt;0, HEX2DEC(Reverse(T181))-$I181,"")</f>
        <v>18</v>
      </c>
      <c r="O181" s="3">
        <v>1010100</v>
      </c>
      <c r="P181" s="3" t="s">
        <v>114</v>
      </c>
      <c r="Q181" s="3" t="s">
        <v>1033</v>
      </c>
      <c r="R181" s="19" t="s">
        <v>146</v>
      </c>
      <c r="S181" s="3" t="s">
        <v>1036</v>
      </c>
      <c r="T181" s="3" t="s">
        <v>148</v>
      </c>
      <c r="U181" s="3" t="s">
        <v>1037</v>
      </c>
      <c r="V181" s="4" t="s">
        <v>1038</v>
      </c>
    </row>
    <row r="182" spans="1:22" x14ac:dyDescent="0.2">
      <c r="A182" s="16" t="s">
        <v>270</v>
      </c>
      <c r="B182" s="16">
        <v>3011</v>
      </c>
      <c r="C182" s="15" t="s">
        <v>2</v>
      </c>
      <c r="D182" s="15" t="s">
        <v>1</v>
      </c>
      <c r="E182" s="15" t="s">
        <v>92</v>
      </c>
      <c r="F182" s="15" t="s">
        <v>96</v>
      </c>
      <c r="G182" s="15"/>
      <c r="H182" s="17" t="str" cm="1">
        <f t="array" ref="H182">Reverse2_6(O182)</f>
        <v>00-010101</v>
      </c>
      <c r="I182" s="18" cm="1">
        <f t="array" ref="I182">HEX2DEC(Reverse(P182))</f>
        <v>93631153</v>
      </c>
      <c r="J182" s="18" cm="1">
        <f t="array" ref="J182">IF(Q182&lt;&gt;0, HEX2DEC(Reverse(Q182))-$I182,"")</f>
        <v>69</v>
      </c>
      <c r="K182" s="18" cm="1">
        <f t="array" ref="K182">IF(R182&lt;&gt;0, HEX2DEC(Reverse(R182))-$I182,"")</f>
        <v>17</v>
      </c>
      <c r="L182" s="18" cm="1">
        <f t="array" ref="L182">IF(S182&lt;&gt;0, HEX2DEC(Reverse(S182))-$I182,"")</f>
        <v>70</v>
      </c>
      <c r="M182" s="18" cm="1">
        <f t="array" ref="M182">IF(T182&lt;&gt;0, HEX2DEC(Reverse(T182))-$I182,"")</f>
        <v>18</v>
      </c>
      <c r="O182" s="3">
        <v>1010100</v>
      </c>
      <c r="P182" s="3" t="s">
        <v>114</v>
      </c>
      <c r="Q182" s="3" t="s">
        <v>1036</v>
      </c>
      <c r="R182" s="19" t="s">
        <v>146</v>
      </c>
      <c r="S182" s="3" t="s">
        <v>1039</v>
      </c>
      <c r="T182" s="3" t="s">
        <v>148</v>
      </c>
      <c r="U182" s="3">
        <v>75543312</v>
      </c>
      <c r="V182" s="4" t="s">
        <v>1040</v>
      </c>
    </row>
    <row r="183" spans="1:22" x14ac:dyDescent="0.2">
      <c r="A183" s="16" t="s">
        <v>271</v>
      </c>
      <c r="B183" s="16">
        <v>3012</v>
      </c>
      <c r="C183" s="15" t="s">
        <v>2</v>
      </c>
      <c r="D183" s="15" t="s">
        <v>1</v>
      </c>
      <c r="E183" s="15" t="s">
        <v>92</v>
      </c>
      <c r="F183" s="15" t="s">
        <v>96</v>
      </c>
      <c r="G183" s="15"/>
      <c r="H183" s="17" t="str" cm="1">
        <f t="array" ref="H183">Reverse2_6(O183)</f>
        <v>00-010101</v>
      </c>
      <c r="I183" s="18" cm="1">
        <f t="array" ref="I183">HEX2DEC(Reverse(P183))</f>
        <v>93631153</v>
      </c>
      <c r="J183" s="18" cm="1">
        <f t="array" ref="J183">IF(Q183&lt;&gt;0, HEX2DEC(Reverse(Q183))-$I183,"")</f>
        <v>70</v>
      </c>
      <c r="K183" s="18" cm="1">
        <f t="array" ref="K183">IF(R183&lt;&gt;0, HEX2DEC(Reverse(R183))-$I183,"")</f>
        <v>17</v>
      </c>
      <c r="L183" s="18" cm="1">
        <f t="array" ref="L183">IF(S183&lt;&gt;0, HEX2DEC(Reverse(S183))-$I183,"")</f>
        <v>71</v>
      </c>
      <c r="M183" s="18" cm="1">
        <f t="array" ref="M183">IF(T183&lt;&gt;0, HEX2DEC(Reverse(T183))-$I183,"")</f>
        <v>18</v>
      </c>
      <c r="O183" s="3">
        <v>1010100</v>
      </c>
      <c r="P183" s="3" t="s">
        <v>114</v>
      </c>
      <c r="Q183" s="3" t="s">
        <v>1039</v>
      </c>
      <c r="R183" s="19" t="s">
        <v>146</v>
      </c>
      <c r="S183" s="3" t="s">
        <v>1041</v>
      </c>
      <c r="T183" s="3" t="s">
        <v>148</v>
      </c>
      <c r="U183" s="3" t="s">
        <v>1042</v>
      </c>
      <c r="V183" s="4" t="s">
        <v>1043</v>
      </c>
    </row>
    <row r="184" spans="1:22" x14ac:dyDescent="0.2">
      <c r="A184" s="20" t="s">
        <v>272</v>
      </c>
      <c r="B184" s="20">
        <v>3013</v>
      </c>
      <c r="C184" s="21" t="s">
        <v>1</v>
      </c>
      <c r="D184" s="21" t="s">
        <v>2</v>
      </c>
      <c r="E184" s="21" t="s">
        <v>90</v>
      </c>
      <c r="F184" s="21" t="s">
        <v>94</v>
      </c>
      <c r="G184" s="21" t="s">
        <v>1778</v>
      </c>
      <c r="H184" s="22" t="str" cm="1">
        <f t="array" ref="H184">Reverse2_6(O184)</f>
        <v>00-010201</v>
      </c>
      <c r="I184" s="45" cm="1">
        <f t="array" ref="I184">HEX2DEC(Reverse(P184))</f>
        <v>93631153</v>
      </c>
      <c r="J184" s="45" cm="1">
        <f t="array" ref="J184">IF(Q184&lt;&gt;0, HEX2DEC(Reverse(Q184))-$I184,"")</f>
        <v>17</v>
      </c>
      <c r="K184" s="45" cm="1">
        <f t="array" ref="K184">IF(R184&lt;&gt;0, HEX2DEC(Reverse(R184))-$I184,"")</f>
        <v>68</v>
      </c>
      <c r="L184" s="45" t="str" cm="1">
        <f t="array" ref="L184">IF(S184&lt;&gt;0, HEX2DEC(Reverse(S184))-$I184,"")</f>
        <v/>
      </c>
      <c r="M184" s="45" cm="1">
        <f t="array" ref="M184">IF(T184&lt;&gt;0, HEX2DEC(Reverse(T184))-$I184,"")</f>
        <v>69</v>
      </c>
      <c r="O184" s="3">
        <v>1020100</v>
      </c>
      <c r="P184" s="3" t="s">
        <v>114</v>
      </c>
      <c r="Q184" s="3" t="s">
        <v>146</v>
      </c>
      <c r="R184" s="3" t="s">
        <v>1033</v>
      </c>
      <c r="S184" s="3">
        <v>0</v>
      </c>
      <c r="T184" s="3" t="s">
        <v>1036</v>
      </c>
      <c r="U184" s="3"/>
      <c r="V184" s="4"/>
    </row>
    <row r="185" spans="1:22" x14ac:dyDescent="0.2">
      <c r="A185" s="20" t="s">
        <v>273</v>
      </c>
      <c r="B185" s="20">
        <v>3014</v>
      </c>
      <c r="C185" s="21" t="s">
        <v>1</v>
      </c>
      <c r="D185" s="21" t="s">
        <v>2</v>
      </c>
      <c r="E185" s="21" t="s">
        <v>90</v>
      </c>
      <c r="F185" s="21" t="s">
        <v>94</v>
      </c>
      <c r="G185" s="21" t="s">
        <v>1778</v>
      </c>
      <c r="H185" s="22" t="str" cm="1">
        <f t="array" ref="H185">Reverse2_6(O185)</f>
        <v>00-010201</v>
      </c>
      <c r="I185" s="45" cm="1">
        <f t="array" ref="I185">HEX2DEC(Reverse(P185))</f>
        <v>93631153</v>
      </c>
      <c r="J185" s="45" cm="1">
        <f t="array" ref="J185">IF(Q185&lt;&gt;0, HEX2DEC(Reverse(Q185))-$I185,"")</f>
        <v>17</v>
      </c>
      <c r="K185" s="45" cm="1">
        <f t="array" ref="K185">IF(R185&lt;&gt;0, HEX2DEC(Reverse(R185))-$I185,"")</f>
        <v>69</v>
      </c>
      <c r="L185" s="45" t="str" cm="1">
        <f t="array" ref="L185">IF(S185&lt;&gt;0, HEX2DEC(Reverse(S185))-$I185,"")</f>
        <v/>
      </c>
      <c r="M185" s="45" cm="1">
        <f t="array" ref="M185">IF(T185&lt;&gt;0, HEX2DEC(Reverse(T185))-$I185,"")</f>
        <v>70</v>
      </c>
      <c r="O185" s="3">
        <v>1020100</v>
      </c>
      <c r="P185" s="3" t="s">
        <v>114</v>
      </c>
      <c r="Q185" s="3" t="s">
        <v>146</v>
      </c>
      <c r="R185" s="3" t="s">
        <v>1036</v>
      </c>
      <c r="S185" s="3">
        <v>0</v>
      </c>
      <c r="T185" s="3" t="s">
        <v>1039</v>
      </c>
      <c r="U185" s="3"/>
      <c r="V185" s="4"/>
    </row>
    <row r="186" spans="1:22" x14ac:dyDescent="0.2">
      <c r="A186" s="20" t="s">
        <v>274</v>
      </c>
      <c r="B186" s="20">
        <v>3015</v>
      </c>
      <c r="C186" s="21" t="s">
        <v>1</v>
      </c>
      <c r="D186" s="21" t="s">
        <v>2</v>
      </c>
      <c r="E186" s="21" t="s">
        <v>90</v>
      </c>
      <c r="F186" s="21" t="s">
        <v>94</v>
      </c>
      <c r="G186" s="21" t="s">
        <v>1778</v>
      </c>
      <c r="H186" s="22" t="str" cm="1">
        <f t="array" ref="H186">Reverse2_6(O186)</f>
        <v>00-010201</v>
      </c>
      <c r="I186" s="45" cm="1">
        <f t="array" ref="I186">HEX2DEC(Reverse(P186))</f>
        <v>93631153</v>
      </c>
      <c r="J186" s="45" cm="1">
        <f t="array" ref="J186">IF(Q186&lt;&gt;0, HEX2DEC(Reverse(Q186))-$I186,"")</f>
        <v>17</v>
      </c>
      <c r="K186" s="45" cm="1">
        <f t="array" ref="K186">IF(R186&lt;&gt;0, HEX2DEC(Reverse(R186))-$I186,"")</f>
        <v>70</v>
      </c>
      <c r="L186" s="45" t="str" cm="1">
        <f t="array" ref="L186">IF(S186&lt;&gt;0, HEX2DEC(Reverse(S186))-$I186,"")</f>
        <v/>
      </c>
      <c r="M186" s="45" cm="1">
        <f t="array" ref="M186">IF(T186&lt;&gt;0, HEX2DEC(Reverse(T186))-$I186,"")</f>
        <v>71</v>
      </c>
      <c r="O186" s="3">
        <v>1020100</v>
      </c>
      <c r="P186" s="3" t="s">
        <v>114</v>
      </c>
      <c r="Q186" s="3" t="s">
        <v>146</v>
      </c>
      <c r="R186" s="3" t="s">
        <v>1039</v>
      </c>
      <c r="S186" s="3">
        <v>0</v>
      </c>
      <c r="T186" s="3" t="s">
        <v>1041</v>
      </c>
      <c r="U186" s="3"/>
      <c r="V186" s="4"/>
    </row>
    <row r="187" spans="1:22" x14ac:dyDescent="0.2">
      <c r="A187" s="16" t="s">
        <v>275</v>
      </c>
      <c r="B187" s="16">
        <v>3016</v>
      </c>
      <c r="C187" s="15" t="s">
        <v>2</v>
      </c>
      <c r="D187" s="15" t="s">
        <v>1</v>
      </c>
      <c r="E187" s="15" t="s">
        <v>92</v>
      </c>
      <c r="F187" s="15" t="s">
        <v>96</v>
      </c>
      <c r="G187" s="15"/>
      <c r="H187" s="17" t="str" cm="1">
        <f t="array" ref="H187">Reverse2_6(O187)</f>
        <v>00-010101</v>
      </c>
      <c r="I187" s="18" cm="1">
        <f t="array" ref="I187">HEX2DEC(Reverse(P187))</f>
        <v>93631153</v>
      </c>
      <c r="J187" s="18" cm="1">
        <f t="array" ref="J187">IF(Q187&lt;&gt;0, HEX2DEC(Reverse(Q187))-$I187,"")</f>
        <v>71</v>
      </c>
      <c r="K187" s="18" cm="1">
        <f t="array" ref="K187">IF(R187&lt;&gt;0, HEX2DEC(Reverse(R187))-$I187,"")</f>
        <v>17</v>
      </c>
      <c r="L187" s="18" cm="1">
        <f t="array" ref="L187">IF(S187&lt;&gt;0, HEX2DEC(Reverse(S187))-$I187,"")</f>
        <v>72</v>
      </c>
      <c r="M187" s="18" cm="1">
        <f t="array" ref="M187">IF(T187&lt;&gt;0, HEX2DEC(Reverse(T187))-$I187,"")</f>
        <v>18</v>
      </c>
      <c r="O187" s="3">
        <v>1010100</v>
      </c>
      <c r="P187" s="3" t="s">
        <v>114</v>
      </c>
      <c r="Q187" s="3" t="s">
        <v>1041</v>
      </c>
      <c r="R187" s="19" t="s">
        <v>146</v>
      </c>
      <c r="S187" s="3" t="s">
        <v>1044</v>
      </c>
      <c r="T187" s="3" t="s">
        <v>148</v>
      </c>
      <c r="U187" s="3" t="s">
        <v>1045</v>
      </c>
      <c r="V187" s="4" t="s">
        <v>1046</v>
      </c>
    </row>
    <row r="188" spans="1:22" x14ac:dyDescent="0.2">
      <c r="A188" s="16" t="s">
        <v>276</v>
      </c>
      <c r="B188" s="16">
        <v>3017</v>
      </c>
      <c r="C188" s="15" t="s">
        <v>2</v>
      </c>
      <c r="D188" s="15" t="s">
        <v>1</v>
      </c>
      <c r="E188" s="15" t="s">
        <v>92</v>
      </c>
      <c r="F188" s="15" t="s">
        <v>96</v>
      </c>
      <c r="G188" s="15"/>
      <c r="H188" s="17" t="str" cm="1">
        <f t="array" ref="H188">Reverse2_6(O188)</f>
        <v>00-010101</v>
      </c>
      <c r="I188" s="18" cm="1">
        <f t="array" ref="I188">HEX2DEC(Reverse(P188))</f>
        <v>93631153</v>
      </c>
      <c r="J188" s="18" cm="1">
        <f t="array" ref="J188">IF(Q188&lt;&gt;0, HEX2DEC(Reverse(Q188))-$I188,"")</f>
        <v>72</v>
      </c>
      <c r="K188" s="18" cm="1">
        <f t="array" ref="K188">IF(R188&lt;&gt;0, HEX2DEC(Reverse(R188))-$I188,"")</f>
        <v>17</v>
      </c>
      <c r="L188" s="18" cm="1">
        <f t="array" ref="L188">IF(S188&lt;&gt;0, HEX2DEC(Reverse(S188))-$I188,"")</f>
        <v>73</v>
      </c>
      <c r="M188" s="18" cm="1">
        <f t="array" ref="M188">IF(T188&lt;&gt;0, HEX2DEC(Reverse(T188))-$I188,"")</f>
        <v>18</v>
      </c>
      <c r="O188" s="3">
        <v>1010100</v>
      </c>
      <c r="P188" s="3" t="s">
        <v>114</v>
      </c>
      <c r="Q188" s="3" t="s">
        <v>1044</v>
      </c>
      <c r="R188" s="19" t="s">
        <v>146</v>
      </c>
      <c r="S188" s="3" t="s">
        <v>1047</v>
      </c>
      <c r="T188" s="3" t="s">
        <v>148</v>
      </c>
      <c r="U188" s="3" t="s">
        <v>1048</v>
      </c>
      <c r="V188" s="4" t="s">
        <v>1049</v>
      </c>
    </row>
    <row r="189" spans="1:22" x14ac:dyDescent="0.2">
      <c r="A189" s="16" t="s">
        <v>277</v>
      </c>
      <c r="B189" s="16">
        <v>3018</v>
      </c>
      <c r="C189" s="15" t="s">
        <v>2</v>
      </c>
      <c r="D189" s="15" t="s">
        <v>1</v>
      </c>
      <c r="E189" s="15" t="s">
        <v>92</v>
      </c>
      <c r="F189" s="15" t="s">
        <v>96</v>
      </c>
      <c r="G189" s="15"/>
      <c r="H189" s="17" t="str" cm="1">
        <f t="array" ref="H189">Reverse2_6(O189)</f>
        <v>00-010101</v>
      </c>
      <c r="I189" s="18" cm="1">
        <f t="array" ref="I189">HEX2DEC(Reverse(P189))</f>
        <v>93631153</v>
      </c>
      <c r="J189" s="18" cm="1">
        <f t="array" ref="J189">IF(Q189&lt;&gt;0, HEX2DEC(Reverse(Q189))-$I189,"")</f>
        <v>73</v>
      </c>
      <c r="K189" s="18" cm="1">
        <f t="array" ref="K189">IF(R189&lt;&gt;0, HEX2DEC(Reverse(R189))-$I189,"")</f>
        <v>17</v>
      </c>
      <c r="L189" s="18" cm="1">
        <f t="array" ref="L189">IF(S189&lt;&gt;0, HEX2DEC(Reverse(S189))-$I189,"")</f>
        <v>74</v>
      </c>
      <c r="M189" s="18" cm="1">
        <f t="array" ref="M189">IF(T189&lt;&gt;0, HEX2DEC(Reverse(T189))-$I189,"")</f>
        <v>18</v>
      </c>
      <c r="O189" s="3">
        <v>1010100</v>
      </c>
      <c r="P189" s="3" t="s">
        <v>114</v>
      </c>
      <c r="Q189" s="3" t="s">
        <v>1047</v>
      </c>
      <c r="R189" s="19" t="s">
        <v>146</v>
      </c>
      <c r="S189" s="3" t="s">
        <v>1050</v>
      </c>
      <c r="T189" s="3" t="s">
        <v>148</v>
      </c>
      <c r="U189" s="3" t="s">
        <v>1051</v>
      </c>
      <c r="V189" s="4" t="s">
        <v>1052</v>
      </c>
    </row>
    <row r="190" spans="1:22" x14ac:dyDescent="0.2">
      <c r="A190" s="16" t="s">
        <v>278</v>
      </c>
      <c r="B190" s="16">
        <v>3019</v>
      </c>
      <c r="C190" s="15" t="s">
        <v>2</v>
      </c>
      <c r="D190" s="15" t="s">
        <v>1</v>
      </c>
      <c r="E190" s="15" t="s">
        <v>92</v>
      </c>
      <c r="F190" s="15" t="s">
        <v>846</v>
      </c>
      <c r="G190" s="15"/>
      <c r="H190" s="17" t="str" cm="1">
        <f t="array" ref="H190">Reverse2_6(O190)</f>
        <v>00-010101</v>
      </c>
      <c r="I190" s="18" cm="1">
        <f t="array" ref="I190">HEX2DEC(Reverse(P190))</f>
        <v>93631153</v>
      </c>
      <c r="J190" s="18" cm="1">
        <f t="array" ref="J190">IF(Q190&lt;&gt;0, HEX2DEC(Reverse(Q190))-$I190,"")</f>
        <v>74</v>
      </c>
      <c r="K190" s="18" cm="1">
        <f t="array" ref="K190">IF(R190&lt;&gt;0, HEX2DEC(Reverse(R190))-$I190,"")</f>
        <v>17</v>
      </c>
      <c r="L190" s="18" cm="1">
        <f t="array" ref="L190">IF(S190&lt;&gt;0, HEX2DEC(Reverse(S190))-$I190,"")</f>
        <v>75</v>
      </c>
      <c r="M190" s="18" cm="1">
        <f t="array" ref="M190">IF(T190&lt;&gt;0, HEX2DEC(Reverse(T190))-$I190,"")</f>
        <v>18</v>
      </c>
      <c r="O190" s="3">
        <v>1010100</v>
      </c>
      <c r="P190" s="3" t="s">
        <v>114</v>
      </c>
      <c r="Q190" s="3" t="s">
        <v>1050</v>
      </c>
      <c r="R190" s="19" t="s">
        <v>146</v>
      </c>
      <c r="S190" s="3" t="s">
        <v>1053</v>
      </c>
      <c r="T190" s="3" t="s">
        <v>148</v>
      </c>
      <c r="U190" s="3" t="s">
        <v>1054</v>
      </c>
      <c r="V190" s="4" t="s">
        <v>1055</v>
      </c>
    </row>
    <row r="191" spans="1:22" x14ac:dyDescent="0.2">
      <c r="A191" s="16" t="s">
        <v>279</v>
      </c>
      <c r="B191" s="16">
        <v>3020</v>
      </c>
      <c r="C191" s="15" t="s">
        <v>2</v>
      </c>
      <c r="D191" s="15" t="s">
        <v>1</v>
      </c>
      <c r="E191" s="15" t="s">
        <v>92</v>
      </c>
      <c r="F191" s="15" t="s">
        <v>96</v>
      </c>
      <c r="G191" s="15"/>
      <c r="H191" s="17" t="str" cm="1">
        <f t="array" ref="H191">Reverse2_6(O191)</f>
        <v>00-010101</v>
      </c>
      <c r="I191" s="18" cm="1">
        <f t="array" ref="I191">HEX2DEC(Reverse(P191))</f>
        <v>93631153</v>
      </c>
      <c r="J191" s="18" cm="1">
        <f t="array" ref="J191">IF(Q191&lt;&gt;0, HEX2DEC(Reverse(Q191))-$I191,"")</f>
        <v>75</v>
      </c>
      <c r="K191" s="18" cm="1">
        <f t="array" ref="K191">IF(R191&lt;&gt;0, HEX2DEC(Reverse(R191))-$I191,"")</f>
        <v>17</v>
      </c>
      <c r="L191" s="18" cm="1">
        <f t="array" ref="L191">IF(S191&lt;&gt;0, HEX2DEC(Reverse(S191))-$I191,"")</f>
        <v>76</v>
      </c>
      <c r="M191" s="18" cm="1">
        <f t="array" ref="M191">IF(T191&lt;&gt;0, HEX2DEC(Reverse(T191))-$I191,"")</f>
        <v>18</v>
      </c>
      <c r="O191" s="3">
        <v>1010100</v>
      </c>
      <c r="P191" s="3" t="s">
        <v>114</v>
      </c>
      <c r="Q191" s="3" t="s">
        <v>1053</v>
      </c>
      <c r="R191" s="19" t="s">
        <v>146</v>
      </c>
      <c r="S191" s="3" t="s">
        <v>1056</v>
      </c>
      <c r="T191" s="3" t="s">
        <v>148</v>
      </c>
      <c r="U191" s="3">
        <v>31313131</v>
      </c>
      <c r="V191" s="4" t="s">
        <v>904</v>
      </c>
    </row>
    <row r="192" spans="1:22" x14ac:dyDescent="0.2">
      <c r="A192" s="16" t="s">
        <v>280</v>
      </c>
      <c r="B192" s="16">
        <v>3021</v>
      </c>
      <c r="C192" s="15" t="s">
        <v>2</v>
      </c>
      <c r="D192" s="15" t="s">
        <v>1</v>
      </c>
      <c r="E192" s="15" t="s">
        <v>92</v>
      </c>
      <c r="F192" s="15" t="s">
        <v>96</v>
      </c>
      <c r="G192" s="15"/>
      <c r="H192" s="17" t="str" cm="1">
        <f t="array" ref="H192">Reverse2_6(O192)</f>
        <v>00-010101</v>
      </c>
      <c r="I192" s="18" cm="1">
        <f t="array" ref="I192">HEX2DEC(Reverse(P192))</f>
        <v>93631153</v>
      </c>
      <c r="J192" s="18" cm="1">
        <f t="array" ref="J192">IF(Q192&lt;&gt;0, HEX2DEC(Reverse(Q192))-$I192,"")</f>
        <v>76</v>
      </c>
      <c r="K192" s="18" cm="1">
        <f t="array" ref="K192">IF(R192&lt;&gt;0, HEX2DEC(Reverse(R192))-$I192,"")</f>
        <v>17</v>
      </c>
      <c r="L192" s="18" cm="1">
        <f t="array" ref="L192">IF(S192&lt;&gt;0, HEX2DEC(Reverse(S192))-$I192,"")</f>
        <v>77</v>
      </c>
      <c r="M192" s="18" cm="1">
        <f t="array" ref="M192">IF(T192&lt;&gt;0, HEX2DEC(Reverse(T192))-$I192,"")</f>
        <v>18</v>
      </c>
      <c r="O192" s="3">
        <v>1010100</v>
      </c>
      <c r="P192" s="3" t="s">
        <v>114</v>
      </c>
      <c r="Q192" s="3" t="s">
        <v>1056</v>
      </c>
      <c r="R192" s="19" t="s">
        <v>146</v>
      </c>
      <c r="S192" s="3" t="s">
        <v>1057</v>
      </c>
      <c r="T192" s="3" t="s">
        <v>148</v>
      </c>
      <c r="U192" s="3" t="s">
        <v>1058</v>
      </c>
      <c r="V192" s="4" t="s">
        <v>1059</v>
      </c>
    </row>
    <row r="193" spans="1:22" x14ac:dyDescent="0.2">
      <c r="A193" s="16" t="s">
        <v>281</v>
      </c>
      <c r="B193" s="16">
        <v>3022</v>
      </c>
      <c r="C193" s="15" t="s">
        <v>2</v>
      </c>
      <c r="D193" s="15" t="s">
        <v>1</v>
      </c>
      <c r="E193" s="15" t="s">
        <v>92</v>
      </c>
      <c r="F193" s="15" t="s">
        <v>96</v>
      </c>
      <c r="G193" s="15"/>
      <c r="H193" s="17" t="str" cm="1">
        <f t="array" ref="H193">Reverse2_6(O193)</f>
        <v>00-010101</v>
      </c>
      <c r="I193" s="18" cm="1">
        <f t="array" ref="I193">HEX2DEC(Reverse(P193))</f>
        <v>93631153</v>
      </c>
      <c r="J193" s="18" cm="1">
        <f t="array" ref="J193">IF(Q193&lt;&gt;0, HEX2DEC(Reverse(Q193))-$I193,"")</f>
        <v>77</v>
      </c>
      <c r="K193" s="18" cm="1">
        <f t="array" ref="K193">IF(R193&lt;&gt;0, HEX2DEC(Reverse(R193))-$I193,"")</f>
        <v>17</v>
      </c>
      <c r="L193" s="18" cm="1">
        <f t="array" ref="L193">IF(S193&lt;&gt;0, HEX2DEC(Reverse(S193))-$I193,"")</f>
        <v>78</v>
      </c>
      <c r="M193" s="18" cm="1">
        <f t="array" ref="M193">IF(T193&lt;&gt;0, HEX2DEC(Reverse(T193))-$I193,"")</f>
        <v>18</v>
      </c>
      <c r="O193" s="3">
        <v>1010100</v>
      </c>
      <c r="P193" s="3" t="s">
        <v>114</v>
      </c>
      <c r="Q193" s="3" t="s">
        <v>1057</v>
      </c>
      <c r="R193" s="19" t="s">
        <v>146</v>
      </c>
      <c r="S193" s="3" t="s">
        <v>1060</v>
      </c>
      <c r="T193" s="3" t="s">
        <v>148</v>
      </c>
      <c r="U193" s="3" t="s">
        <v>1061</v>
      </c>
      <c r="V193" s="4" t="s">
        <v>1062</v>
      </c>
    </row>
    <row r="194" spans="1:22" x14ac:dyDescent="0.2">
      <c r="A194" s="16" t="s">
        <v>282</v>
      </c>
      <c r="B194" s="16">
        <v>3023</v>
      </c>
      <c r="C194" s="15" t="s">
        <v>2</v>
      </c>
      <c r="D194" s="15" t="s">
        <v>1</v>
      </c>
      <c r="E194" s="15" t="s">
        <v>92</v>
      </c>
      <c r="F194" s="15" t="s">
        <v>96</v>
      </c>
      <c r="G194" s="15"/>
      <c r="H194" s="17" t="str" cm="1">
        <f t="array" ref="H194">Reverse2_6(O194)</f>
        <v>00-010101</v>
      </c>
      <c r="I194" s="18" cm="1">
        <f t="array" ref="I194">HEX2DEC(Reverse(P194))</f>
        <v>93631153</v>
      </c>
      <c r="J194" s="18" cm="1">
        <f t="array" ref="J194">IF(Q194&lt;&gt;0, HEX2DEC(Reverse(Q194))-$I194,"")</f>
        <v>78</v>
      </c>
      <c r="K194" s="18" cm="1">
        <f t="array" ref="K194">IF(R194&lt;&gt;0, HEX2DEC(Reverse(R194))-$I194,"")</f>
        <v>17</v>
      </c>
      <c r="L194" s="18" cm="1">
        <f t="array" ref="L194">IF(S194&lt;&gt;0, HEX2DEC(Reverse(S194))-$I194,"")</f>
        <v>79</v>
      </c>
      <c r="M194" s="18" cm="1">
        <f t="array" ref="M194">IF(T194&lt;&gt;0, HEX2DEC(Reverse(T194))-$I194,"")</f>
        <v>18</v>
      </c>
      <c r="O194" s="3">
        <v>1010100</v>
      </c>
      <c r="P194" s="3" t="s">
        <v>114</v>
      </c>
      <c r="Q194" s="3" t="s">
        <v>1060</v>
      </c>
      <c r="R194" s="19" t="s">
        <v>146</v>
      </c>
      <c r="S194" s="3" t="s">
        <v>1063</v>
      </c>
      <c r="T194" s="3" t="s">
        <v>148</v>
      </c>
      <c r="U194" s="3" t="s">
        <v>1064</v>
      </c>
      <c r="V194" s="4" t="s">
        <v>1065</v>
      </c>
    </row>
    <row r="195" spans="1:22" x14ac:dyDescent="0.2">
      <c r="A195" s="16" t="s">
        <v>283</v>
      </c>
      <c r="B195" s="16">
        <v>3024</v>
      </c>
      <c r="C195" s="15" t="s">
        <v>2</v>
      </c>
      <c r="D195" s="15" t="s">
        <v>1</v>
      </c>
      <c r="E195" s="15" t="s">
        <v>92</v>
      </c>
      <c r="F195" s="15" t="s">
        <v>96</v>
      </c>
      <c r="G195" s="15"/>
      <c r="H195" s="17" t="str" cm="1">
        <f t="array" ref="H195">Reverse2_6(O195)</f>
        <v>00-010101</v>
      </c>
      <c r="I195" s="18" cm="1">
        <f t="array" ref="I195">HEX2DEC(Reverse(P195))</f>
        <v>93631153</v>
      </c>
      <c r="J195" s="18" cm="1">
        <f t="array" ref="J195">IF(Q195&lt;&gt;0, HEX2DEC(Reverse(Q195))-$I195,"")</f>
        <v>79</v>
      </c>
      <c r="K195" s="18" cm="1">
        <f t="array" ref="K195">IF(R195&lt;&gt;0, HEX2DEC(Reverse(R195))-$I195,"")</f>
        <v>17</v>
      </c>
      <c r="L195" s="18" cm="1">
        <f t="array" ref="L195">IF(S195&lt;&gt;0, HEX2DEC(Reverse(S195))-$I195,"")</f>
        <v>80</v>
      </c>
      <c r="M195" s="18" cm="1">
        <f t="array" ref="M195">IF(T195&lt;&gt;0, HEX2DEC(Reverse(T195))-$I195,"")</f>
        <v>18</v>
      </c>
      <c r="O195" s="3">
        <v>1010100</v>
      </c>
      <c r="P195" s="3" t="s">
        <v>114</v>
      </c>
      <c r="Q195" s="3" t="s">
        <v>1063</v>
      </c>
      <c r="R195" s="19" t="s">
        <v>146</v>
      </c>
      <c r="S195" s="3" t="s">
        <v>1066</v>
      </c>
      <c r="T195" s="3" t="s">
        <v>148</v>
      </c>
      <c r="U195" s="3" t="s">
        <v>1067</v>
      </c>
      <c r="V195" s="4" t="s">
        <v>1068</v>
      </c>
    </row>
    <row r="196" spans="1:22" x14ac:dyDescent="0.2">
      <c r="A196" s="16" t="s">
        <v>284</v>
      </c>
      <c r="B196" s="16">
        <v>3025</v>
      </c>
      <c r="C196" s="15" t="s">
        <v>2</v>
      </c>
      <c r="D196" s="15" t="s">
        <v>1</v>
      </c>
      <c r="E196" s="15" t="s">
        <v>92</v>
      </c>
      <c r="F196" s="15" t="s">
        <v>96</v>
      </c>
      <c r="G196" s="15"/>
      <c r="H196" s="17" t="str" cm="1">
        <f t="array" ref="H196">Reverse2_6(O196)</f>
        <v>00-010101</v>
      </c>
      <c r="I196" s="18" cm="1">
        <f t="array" ref="I196">HEX2DEC(Reverse(P196))</f>
        <v>93631153</v>
      </c>
      <c r="J196" s="18" cm="1">
        <f t="array" ref="J196">IF(Q196&lt;&gt;0, HEX2DEC(Reverse(Q196))-$I196,"")</f>
        <v>80</v>
      </c>
      <c r="K196" s="18" cm="1">
        <f t="array" ref="K196">IF(R196&lt;&gt;0, HEX2DEC(Reverse(R196))-$I196,"")</f>
        <v>17</v>
      </c>
      <c r="L196" s="18" cm="1">
        <f t="array" ref="L196">IF(S196&lt;&gt;0, HEX2DEC(Reverse(S196))-$I196,"")</f>
        <v>81</v>
      </c>
      <c r="M196" s="18" cm="1">
        <f t="array" ref="M196">IF(T196&lt;&gt;0, HEX2DEC(Reverse(T196))-$I196,"")</f>
        <v>18</v>
      </c>
      <c r="O196" s="3">
        <v>1010100</v>
      </c>
      <c r="P196" s="3" t="s">
        <v>114</v>
      </c>
      <c r="Q196" s="3" t="s">
        <v>1066</v>
      </c>
      <c r="R196" s="19" t="s">
        <v>146</v>
      </c>
      <c r="S196" s="3" t="s">
        <v>1069</v>
      </c>
      <c r="T196" s="3" t="s">
        <v>148</v>
      </c>
      <c r="U196" s="3" t="s">
        <v>1070</v>
      </c>
      <c r="V196" s="4" t="s">
        <v>1071</v>
      </c>
    </row>
    <row r="197" spans="1:22" x14ac:dyDescent="0.2">
      <c r="A197" s="16" t="s">
        <v>285</v>
      </c>
      <c r="B197" s="16">
        <v>3026</v>
      </c>
      <c r="C197" s="15" t="s">
        <v>2</v>
      </c>
      <c r="D197" s="15" t="s">
        <v>1</v>
      </c>
      <c r="E197" s="15" t="s">
        <v>92</v>
      </c>
      <c r="F197" s="15" t="s">
        <v>96</v>
      </c>
      <c r="G197" s="15"/>
      <c r="H197" s="17" t="str" cm="1">
        <f t="array" ref="H197">Reverse2_6(O197)</f>
        <v>00-010101</v>
      </c>
      <c r="I197" s="18" cm="1">
        <f t="array" ref="I197">HEX2DEC(Reverse(P197))</f>
        <v>93631153</v>
      </c>
      <c r="J197" s="18" cm="1">
        <f t="array" ref="J197">IF(Q197&lt;&gt;0, HEX2DEC(Reverse(Q197))-$I197,"")</f>
        <v>81</v>
      </c>
      <c r="K197" s="18" cm="1">
        <f t="array" ref="K197">IF(R197&lt;&gt;0, HEX2DEC(Reverse(R197))-$I197,"")</f>
        <v>17</v>
      </c>
      <c r="L197" s="18" cm="1">
        <f t="array" ref="L197">IF(S197&lt;&gt;0, HEX2DEC(Reverse(S197))-$I197,"")</f>
        <v>82</v>
      </c>
      <c r="M197" s="18" cm="1">
        <f t="array" ref="M197">IF(T197&lt;&gt;0, HEX2DEC(Reverse(T197))-$I197,"")</f>
        <v>18</v>
      </c>
      <c r="O197" s="3">
        <v>1010100</v>
      </c>
      <c r="P197" s="3" t="s">
        <v>114</v>
      </c>
      <c r="Q197" s="3" t="s">
        <v>1069</v>
      </c>
      <c r="R197" s="19" t="s">
        <v>146</v>
      </c>
      <c r="S197" s="3" t="s">
        <v>1072</v>
      </c>
      <c r="T197" s="3" t="s">
        <v>148</v>
      </c>
      <c r="U197" s="3" t="s">
        <v>1073</v>
      </c>
      <c r="V197" s="4" t="s">
        <v>1074</v>
      </c>
    </row>
    <row r="198" spans="1:22" x14ac:dyDescent="0.2">
      <c r="A198" s="20" t="s">
        <v>286</v>
      </c>
      <c r="B198" s="20">
        <v>3027</v>
      </c>
      <c r="C198" s="21" t="s">
        <v>1</v>
      </c>
      <c r="D198" s="21" t="s">
        <v>2</v>
      </c>
      <c r="E198" s="21" t="s">
        <v>90</v>
      </c>
      <c r="F198" s="21" t="s">
        <v>94</v>
      </c>
      <c r="G198" s="21" t="s">
        <v>1778</v>
      </c>
      <c r="H198" s="22" t="str" cm="1">
        <f t="array" ref="H198">Reverse2_6(O198)</f>
        <v>00-010201</v>
      </c>
      <c r="I198" s="45" cm="1">
        <f t="array" ref="I198">HEX2DEC(Reverse(P198))</f>
        <v>93631153</v>
      </c>
      <c r="J198" s="45" cm="1">
        <f t="array" ref="J198">IF(Q198&lt;&gt;0, HEX2DEC(Reverse(Q198))-$I198,"")</f>
        <v>17</v>
      </c>
      <c r="K198" s="45" cm="1">
        <f t="array" ref="K198">IF(R198&lt;&gt;0, HEX2DEC(Reverse(R198))-$I198,"")</f>
        <v>71</v>
      </c>
      <c r="L198" s="45" t="str" cm="1">
        <f t="array" ref="L198">IF(S198&lt;&gt;0, HEX2DEC(Reverse(S198))-$I198,"")</f>
        <v/>
      </c>
      <c r="M198" s="45" cm="1">
        <f t="array" ref="M198">IF(T198&lt;&gt;0, HEX2DEC(Reverse(T198))-$I198,"")</f>
        <v>72</v>
      </c>
      <c r="O198" s="3">
        <v>1020100</v>
      </c>
      <c r="P198" s="3" t="s">
        <v>114</v>
      </c>
      <c r="Q198" s="3" t="s">
        <v>146</v>
      </c>
      <c r="R198" s="3" t="s">
        <v>1041</v>
      </c>
      <c r="S198" s="3">
        <v>0</v>
      </c>
      <c r="T198" s="3" t="s">
        <v>1044</v>
      </c>
      <c r="U198" s="3"/>
      <c r="V198" s="4"/>
    </row>
    <row r="199" spans="1:22" x14ac:dyDescent="0.2">
      <c r="A199" s="20" t="s">
        <v>287</v>
      </c>
      <c r="B199" s="20">
        <v>3028</v>
      </c>
      <c r="C199" s="21" t="s">
        <v>1</v>
      </c>
      <c r="D199" s="21" t="s">
        <v>2</v>
      </c>
      <c r="E199" s="21" t="s">
        <v>90</v>
      </c>
      <c r="F199" s="21" t="s">
        <v>94</v>
      </c>
      <c r="G199" s="21" t="s">
        <v>1778</v>
      </c>
      <c r="H199" s="22" t="str" cm="1">
        <f t="array" ref="H199">Reverse2_6(O199)</f>
        <v>00-010201</v>
      </c>
      <c r="I199" s="45" cm="1">
        <f t="array" ref="I199">HEX2DEC(Reverse(P199))</f>
        <v>93631153</v>
      </c>
      <c r="J199" s="45" cm="1">
        <f t="array" ref="J199">IF(Q199&lt;&gt;0, HEX2DEC(Reverse(Q199))-$I199,"")</f>
        <v>17</v>
      </c>
      <c r="K199" s="45" cm="1">
        <f t="array" ref="K199">IF(R199&lt;&gt;0, HEX2DEC(Reverse(R199))-$I199,"")</f>
        <v>72</v>
      </c>
      <c r="L199" s="45" t="str" cm="1">
        <f t="array" ref="L199">IF(S199&lt;&gt;0, HEX2DEC(Reverse(S199))-$I199,"")</f>
        <v/>
      </c>
      <c r="M199" s="45" cm="1">
        <f t="array" ref="M199">IF(T199&lt;&gt;0, HEX2DEC(Reverse(T199))-$I199,"")</f>
        <v>73</v>
      </c>
      <c r="O199" s="3">
        <v>1020100</v>
      </c>
      <c r="P199" s="3" t="s">
        <v>114</v>
      </c>
      <c r="Q199" s="3" t="s">
        <v>146</v>
      </c>
      <c r="R199" s="3" t="s">
        <v>1044</v>
      </c>
      <c r="S199" s="3">
        <v>0</v>
      </c>
      <c r="T199" s="3" t="s">
        <v>1047</v>
      </c>
      <c r="U199" s="3"/>
      <c r="V199" s="4"/>
    </row>
    <row r="200" spans="1:22" x14ac:dyDescent="0.2">
      <c r="A200" s="20" t="s">
        <v>288</v>
      </c>
      <c r="B200" s="20">
        <v>3029</v>
      </c>
      <c r="C200" s="21" t="s">
        <v>1</v>
      </c>
      <c r="D200" s="21" t="s">
        <v>2</v>
      </c>
      <c r="E200" s="21" t="s">
        <v>90</v>
      </c>
      <c r="F200" s="21" t="s">
        <v>94</v>
      </c>
      <c r="G200" s="21" t="s">
        <v>1778</v>
      </c>
      <c r="H200" s="22" t="str" cm="1">
        <f t="array" ref="H200">Reverse2_6(O200)</f>
        <v>00-010201</v>
      </c>
      <c r="I200" s="45" cm="1">
        <f t="array" ref="I200">HEX2DEC(Reverse(P200))</f>
        <v>93631153</v>
      </c>
      <c r="J200" s="45" cm="1">
        <f t="array" ref="J200">IF(Q200&lt;&gt;0, HEX2DEC(Reverse(Q200))-$I200,"")</f>
        <v>17</v>
      </c>
      <c r="K200" s="45" cm="1">
        <f t="array" ref="K200">IF(R200&lt;&gt;0, HEX2DEC(Reverse(R200))-$I200,"")</f>
        <v>73</v>
      </c>
      <c r="L200" s="45" t="str" cm="1">
        <f t="array" ref="L200">IF(S200&lt;&gt;0, HEX2DEC(Reverse(S200))-$I200,"")</f>
        <v/>
      </c>
      <c r="M200" s="45" cm="1">
        <f t="array" ref="M200">IF(T200&lt;&gt;0, HEX2DEC(Reverse(T200))-$I200,"")</f>
        <v>74</v>
      </c>
      <c r="O200" s="3">
        <v>1020100</v>
      </c>
      <c r="P200" s="3" t="s">
        <v>114</v>
      </c>
      <c r="Q200" s="3" t="s">
        <v>146</v>
      </c>
      <c r="R200" s="3" t="s">
        <v>1047</v>
      </c>
      <c r="S200" s="3">
        <v>0</v>
      </c>
      <c r="T200" s="3" t="s">
        <v>1050</v>
      </c>
      <c r="U200" s="3"/>
      <c r="V200" s="4"/>
    </row>
    <row r="201" spans="1:22" x14ac:dyDescent="0.2">
      <c r="A201" s="20" t="s">
        <v>289</v>
      </c>
      <c r="B201" s="20">
        <v>3030</v>
      </c>
      <c r="C201" s="21" t="s">
        <v>1</v>
      </c>
      <c r="D201" s="21" t="s">
        <v>2</v>
      </c>
      <c r="E201" s="21" t="s">
        <v>90</v>
      </c>
      <c r="F201" s="21" t="s">
        <v>94</v>
      </c>
      <c r="G201" s="21" t="s">
        <v>1778</v>
      </c>
      <c r="H201" s="22" t="str" cm="1">
        <f t="array" ref="H201">Reverse2_6(O201)</f>
        <v>00-010201</v>
      </c>
      <c r="I201" s="45" cm="1">
        <f t="array" ref="I201">HEX2DEC(Reverse(P201))</f>
        <v>93631153</v>
      </c>
      <c r="J201" s="45" cm="1">
        <f t="array" ref="J201">IF(Q201&lt;&gt;0, HEX2DEC(Reverse(Q201))-$I201,"")</f>
        <v>17</v>
      </c>
      <c r="K201" s="45" cm="1">
        <f t="array" ref="K201">IF(R201&lt;&gt;0, HEX2DEC(Reverse(R201))-$I201,"")</f>
        <v>74</v>
      </c>
      <c r="L201" s="45" t="str" cm="1">
        <f t="array" ref="L201">IF(S201&lt;&gt;0, HEX2DEC(Reverse(S201))-$I201,"")</f>
        <v/>
      </c>
      <c r="M201" s="45" cm="1">
        <f t="array" ref="M201">IF(T201&lt;&gt;0, HEX2DEC(Reverse(T201))-$I201,"")</f>
        <v>75</v>
      </c>
      <c r="O201" s="3">
        <v>1020100</v>
      </c>
      <c r="P201" s="3" t="s">
        <v>114</v>
      </c>
      <c r="Q201" s="3" t="s">
        <v>146</v>
      </c>
      <c r="R201" s="3" t="s">
        <v>1050</v>
      </c>
      <c r="S201" s="3">
        <v>0</v>
      </c>
      <c r="T201" s="3" t="s">
        <v>1053</v>
      </c>
      <c r="U201" s="3"/>
      <c r="V201" s="4"/>
    </row>
    <row r="202" spans="1:22" x14ac:dyDescent="0.2">
      <c r="A202" s="20" t="s">
        <v>290</v>
      </c>
      <c r="B202" s="20">
        <v>3031</v>
      </c>
      <c r="C202" s="21" t="s">
        <v>1</v>
      </c>
      <c r="D202" s="21" t="s">
        <v>2</v>
      </c>
      <c r="E202" s="21" t="s">
        <v>90</v>
      </c>
      <c r="F202" s="21" t="s">
        <v>94</v>
      </c>
      <c r="G202" s="21" t="s">
        <v>1778</v>
      </c>
      <c r="H202" s="22" t="str" cm="1">
        <f t="array" ref="H202">Reverse2_6(O202)</f>
        <v>00-010201</v>
      </c>
      <c r="I202" s="45" cm="1">
        <f t="array" ref="I202">HEX2DEC(Reverse(P202))</f>
        <v>93631153</v>
      </c>
      <c r="J202" s="45" cm="1">
        <f t="array" ref="J202">IF(Q202&lt;&gt;0, HEX2DEC(Reverse(Q202))-$I202,"")</f>
        <v>17</v>
      </c>
      <c r="K202" s="45" cm="1">
        <f t="array" ref="K202">IF(R202&lt;&gt;0, HEX2DEC(Reverse(R202))-$I202,"")</f>
        <v>75</v>
      </c>
      <c r="L202" s="45" t="str" cm="1">
        <f t="array" ref="L202">IF(S202&lt;&gt;0, HEX2DEC(Reverse(S202))-$I202,"")</f>
        <v/>
      </c>
      <c r="M202" s="45" cm="1">
        <f t="array" ref="M202">IF(T202&lt;&gt;0, HEX2DEC(Reverse(T202))-$I202,"")</f>
        <v>76</v>
      </c>
      <c r="O202" s="3">
        <v>1020100</v>
      </c>
      <c r="P202" s="3" t="s">
        <v>114</v>
      </c>
      <c r="Q202" s="3" t="s">
        <v>146</v>
      </c>
      <c r="R202" s="3" t="s">
        <v>1053</v>
      </c>
      <c r="S202" s="3">
        <v>0</v>
      </c>
      <c r="T202" s="3" t="s">
        <v>1056</v>
      </c>
      <c r="U202" s="3"/>
      <c r="V202" s="4"/>
    </row>
    <row r="203" spans="1:22" x14ac:dyDescent="0.2">
      <c r="A203" s="20" t="s">
        <v>291</v>
      </c>
      <c r="B203" s="20">
        <v>3032</v>
      </c>
      <c r="C203" s="21" t="s">
        <v>1</v>
      </c>
      <c r="D203" s="21" t="s">
        <v>2</v>
      </c>
      <c r="E203" s="21" t="s">
        <v>90</v>
      </c>
      <c r="F203" s="21" t="s">
        <v>94</v>
      </c>
      <c r="G203" s="21" t="s">
        <v>1778</v>
      </c>
      <c r="H203" s="22" t="str" cm="1">
        <f t="array" ref="H203">Reverse2_6(O203)</f>
        <v>00-010201</v>
      </c>
      <c r="I203" s="45" cm="1">
        <f t="array" ref="I203">HEX2DEC(Reverse(P203))</f>
        <v>93631153</v>
      </c>
      <c r="J203" s="45" cm="1">
        <f t="array" ref="J203">IF(Q203&lt;&gt;0, HEX2DEC(Reverse(Q203))-$I203,"")</f>
        <v>17</v>
      </c>
      <c r="K203" s="45" cm="1">
        <f t="array" ref="K203">IF(R203&lt;&gt;0, HEX2DEC(Reverse(R203))-$I203,"")</f>
        <v>76</v>
      </c>
      <c r="L203" s="45" t="str" cm="1">
        <f t="array" ref="L203">IF(S203&lt;&gt;0, HEX2DEC(Reverse(S203))-$I203,"")</f>
        <v/>
      </c>
      <c r="M203" s="45" cm="1">
        <f t="array" ref="M203">IF(T203&lt;&gt;0, HEX2DEC(Reverse(T203))-$I203,"")</f>
        <v>77</v>
      </c>
      <c r="O203" s="3">
        <v>1020100</v>
      </c>
      <c r="P203" s="3" t="s">
        <v>114</v>
      </c>
      <c r="Q203" s="3" t="s">
        <v>146</v>
      </c>
      <c r="R203" s="3" t="s">
        <v>1056</v>
      </c>
      <c r="S203" s="3">
        <v>0</v>
      </c>
      <c r="T203" s="3" t="s">
        <v>1057</v>
      </c>
      <c r="U203" s="3"/>
      <c r="V203" s="4"/>
    </row>
    <row r="204" spans="1:22" x14ac:dyDescent="0.2">
      <c r="A204" s="20" t="s">
        <v>292</v>
      </c>
      <c r="B204" s="20">
        <v>3033</v>
      </c>
      <c r="C204" s="21" t="s">
        <v>1</v>
      </c>
      <c r="D204" s="21" t="s">
        <v>2</v>
      </c>
      <c r="E204" s="21" t="s">
        <v>90</v>
      </c>
      <c r="F204" s="21" t="s">
        <v>94</v>
      </c>
      <c r="G204" s="21" t="s">
        <v>1778</v>
      </c>
      <c r="H204" s="22" t="str" cm="1">
        <f t="array" ref="H204">Reverse2_6(O204)</f>
        <v>00-010201</v>
      </c>
      <c r="I204" s="45" cm="1">
        <f t="array" ref="I204">HEX2DEC(Reverse(P204))</f>
        <v>93631153</v>
      </c>
      <c r="J204" s="45" cm="1">
        <f t="array" ref="J204">IF(Q204&lt;&gt;0, HEX2DEC(Reverse(Q204))-$I204,"")</f>
        <v>17</v>
      </c>
      <c r="K204" s="45" cm="1">
        <f t="array" ref="K204">IF(R204&lt;&gt;0, HEX2DEC(Reverse(R204))-$I204,"")</f>
        <v>77</v>
      </c>
      <c r="L204" s="45" t="str" cm="1">
        <f t="array" ref="L204">IF(S204&lt;&gt;0, HEX2DEC(Reverse(S204))-$I204,"")</f>
        <v/>
      </c>
      <c r="M204" s="45" cm="1">
        <f t="array" ref="M204">IF(T204&lt;&gt;0, HEX2DEC(Reverse(T204))-$I204,"")</f>
        <v>78</v>
      </c>
      <c r="O204" s="3">
        <v>1020100</v>
      </c>
      <c r="P204" s="3" t="s">
        <v>114</v>
      </c>
      <c r="Q204" s="3" t="s">
        <v>146</v>
      </c>
      <c r="R204" s="3" t="s">
        <v>1057</v>
      </c>
      <c r="S204" s="3">
        <v>0</v>
      </c>
      <c r="T204" s="3" t="s">
        <v>1060</v>
      </c>
      <c r="U204" s="3"/>
      <c r="V204" s="4"/>
    </row>
    <row r="205" spans="1:22" x14ac:dyDescent="0.2">
      <c r="A205" s="20" t="s">
        <v>293</v>
      </c>
      <c r="B205" s="20">
        <v>3034</v>
      </c>
      <c r="C205" s="21" t="s">
        <v>1</v>
      </c>
      <c r="D205" s="21" t="s">
        <v>2</v>
      </c>
      <c r="E205" s="21" t="s">
        <v>90</v>
      </c>
      <c r="F205" s="21" t="s">
        <v>94</v>
      </c>
      <c r="G205" s="21" t="s">
        <v>1778</v>
      </c>
      <c r="H205" s="22" t="str" cm="1">
        <f t="array" ref="H205">Reverse2_6(O205)</f>
        <v>00-010201</v>
      </c>
      <c r="I205" s="45" cm="1">
        <f t="array" ref="I205">HEX2DEC(Reverse(P205))</f>
        <v>93631153</v>
      </c>
      <c r="J205" s="45" cm="1">
        <f t="array" ref="J205">IF(Q205&lt;&gt;0, HEX2DEC(Reverse(Q205))-$I205,"")</f>
        <v>17</v>
      </c>
      <c r="K205" s="45" cm="1">
        <f t="array" ref="K205">IF(R205&lt;&gt;0, HEX2DEC(Reverse(R205))-$I205,"")</f>
        <v>78</v>
      </c>
      <c r="L205" s="45" t="str" cm="1">
        <f t="array" ref="L205">IF(S205&lt;&gt;0, HEX2DEC(Reverse(S205))-$I205,"")</f>
        <v/>
      </c>
      <c r="M205" s="45" cm="1">
        <f t="array" ref="M205">IF(T205&lt;&gt;0, HEX2DEC(Reverse(T205))-$I205,"")</f>
        <v>79</v>
      </c>
      <c r="O205" s="3">
        <v>1020100</v>
      </c>
      <c r="P205" s="3" t="s">
        <v>114</v>
      </c>
      <c r="Q205" s="3" t="s">
        <v>146</v>
      </c>
      <c r="R205" s="3" t="s">
        <v>1060</v>
      </c>
      <c r="S205" s="3">
        <v>0</v>
      </c>
      <c r="T205" s="3" t="s">
        <v>1063</v>
      </c>
      <c r="U205" s="3"/>
      <c r="V205" s="4"/>
    </row>
    <row r="206" spans="1:22" x14ac:dyDescent="0.2">
      <c r="A206" s="20" t="s">
        <v>294</v>
      </c>
      <c r="B206" s="20">
        <v>3035</v>
      </c>
      <c r="C206" s="21" t="s">
        <v>1</v>
      </c>
      <c r="D206" s="21" t="s">
        <v>2</v>
      </c>
      <c r="E206" s="21" t="s">
        <v>90</v>
      </c>
      <c r="F206" s="21" t="s">
        <v>94</v>
      </c>
      <c r="G206" s="21" t="s">
        <v>1778</v>
      </c>
      <c r="H206" s="22" t="str" cm="1">
        <f t="array" ref="H206">Reverse2_6(O206)</f>
        <v>00-010201</v>
      </c>
      <c r="I206" s="45" cm="1">
        <f t="array" ref="I206">HEX2DEC(Reverse(P206))</f>
        <v>93631153</v>
      </c>
      <c r="J206" s="45" cm="1">
        <f t="array" ref="J206">IF(Q206&lt;&gt;0, HEX2DEC(Reverse(Q206))-$I206,"")</f>
        <v>17</v>
      </c>
      <c r="K206" s="45" cm="1">
        <f t="array" ref="K206">IF(R206&lt;&gt;0, HEX2DEC(Reverse(R206))-$I206,"")</f>
        <v>79</v>
      </c>
      <c r="L206" s="45" t="str" cm="1">
        <f t="array" ref="L206">IF(S206&lt;&gt;0, HEX2DEC(Reverse(S206))-$I206,"")</f>
        <v/>
      </c>
      <c r="M206" s="45" cm="1">
        <f t="array" ref="M206">IF(T206&lt;&gt;0, HEX2DEC(Reverse(T206))-$I206,"")</f>
        <v>80</v>
      </c>
      <c r="O206" s="3">
        <v>1020100</v>
      </c>
      <c r="P206" s="3" t="s">
        <v>114</v>
      </c>
      <c r="Q206" s="3" t="s">
        <v>146</v>
      </c>
      <c r="R206" s="3" t="s">
        <v>1063</v>
      </c>
      <c r="S206" s="3">
        <v>0</v>
      </c>
      <c r="T206" s="3" t="s">
        <v>1066</v>
      </c>
      <c r="U206" s="3"/>
      <c r="V206" s="4"/>
    </row>
    <row r="207" spans="1:22" x14ac:dyDescent="0.2">
      <c r="A207" s="20" t="s">
        <v>295</v>
      </c>
      <c r="B207" s="20">
        <v>3036</v>
      </c>
      <c r="C207" s="21" t="s">
        <v>1</v>
      </c>
      <c r="D207" s="21" t="s">
        <v>2</v>
      </c>
      <c r="E207" s="21" t="s">
        <v>90</v>
      </c>
      <c r="F207" s="21" t="s">
        <v>94</v>
      </c>
      <c r="G207" s="21" t="s">
        <v>1778</v>
      </c>
      <c r="H207" s="22" t="str" cm="1">
        <f t="array" ref="H207">Reverse2_6(O207)</f>
        <v>00-010201</v>
      </c>
      <c r="I207" s="45" cm="1">
        <f t="array" ref="I207">HEX2DEC(Reverse(P207))</f>
        <v>93631153</v>
      </c>
      <c r="J207" s="45" cm="1">
        <f t="array" ref="J207">IF(Q207&lt;&gt;0, HEX2DEC(Reverse(Q207))-$I207,"")</f>
        <v>17</v>
      </c>
      <c r="K207" s="45" cm="1">
        <f t="array" ref="K207">IF(R207&lt;&gt;0, HEX2DEC(Reverse(R207))-$I207,"")</f>
        <v>80</v>
      </c>
      <c r="L207" s="45" t="str" cm="1">
        <f t="array" ref="L207">IF(S207&lt;&gt;0, HEX2DEC(Reverse(S207))-$I207,"")</f>
        <v/>
      </c>
      <c r="M207" s="45" cm="1">
        <f t="array" ref="M207">IF(T207&lt;&gt;0, HEX2DEC(Reverse(T207))-$I207,"")</f>
        <v>81</v>
      </c>
      <c r="O207" s="3">
        <v>1020100</v>
      </c>
      <c r="P207" s="3" t="s">
        <v>114</v>
      </c>
      <c r="Q207" s="3" t="s">
        <v>146</v>
      </c>
      <c r="R207" s="3" t="s">
        <v>1066</v>
      </c>
      <c r="S207" s="3">
        <v>0</v>
      </c>
      <c r="T207" s="3" t="s">
        <v>1069</v>
      </c>
      <c r="U207" s="3"/>
      <c r="V207" s="4"/>
    </row>
    <row r="208" spans="1:22" x14ac:dyDescent="0.2">
      <c r="A208" s="20" t="s">
        <v>296</v>
      </c>
      <c r="B208" s="20">
        <v>3037</v>
      </c>
      <c r="C208" s="21" t="s">
        <v>1</v>
      </c>
      <c r="D208" s="21" t="s">
        <v>2</v>
      </c>
      <c r="E208" s="21" t="s">
        <v>90</v>
      </c>
      <c r="F208" s="21" t="s">
        <v>94</v>
      </c>
      <c r="G208" s="21" t="s">
        <v>1778</v>
      </c>
      <c r="H208" s="22" t="str" cm="1">
        <f t="array" ref="H208">Reverse2_6(O208)</f>
        <v>00-010201</v>
      </c>
      <c r="I208" s="45" cm="1">
        <f t="array" ref="I208">HEX2DEC(Reverse(P208))</f>
        <v>93631153</v>
      </c>
      <c r="J208" s="45" cm="1">
        <f t="array" ref="J208">IF(Q208&lt;&gt;0, HEX2DEC(Reverse(Q208))-$I208,"")</f>
        <v>17</v>
      </c>
      <c r="K208" s="45" cm="1">
        <f t="array" ref="K208">IF(R208&lt;&gt;0, HEX2DEC(Reverse(R208))-$I208,"")</f>
        <v>81</v>
      </c>
      <c r="L208" s="45" t="str" cm="1">
        <f t="array" ref="L208">IF(S208&lt;&gt;0, HEX2DEC(Reverse(S208))-$I208,"")</f>
        <v/>
      </c>
      <c r="M208" s="45" cm="1">
        <f t="array" ref="M208">IF(T208&lt;&gt;0, HEX2DEC(Reverse(T208))-$I208,"")</f>
        <v>82</v>
      </c>
      <c r="O208" s="3">
        <v>1020100</v>
      </c>
      <c r="P208" s="3" t="s">
        <v>114</v>
      </c>
      <c r="Q208" s="3" t="s">
        <v>146</v>
      </c>
      <c r="R208" s="3" t="s">
        <v>1069</v>
      </c>
      <c r="S208" s="3">
        <v>0</v>
      </c>
      <c r="T208" s="3" t="s">
        <v>1072</v>
      </c>
      <c r="U208" s="3"/>
      <c r="V208" s="4"/>
    </row>
    <row r="209" spans="1:22" x14ac:dyDescent="0.2">
      <c r="A209" s="16" t="s">
        <v>297</v>
      </c>
      <c r="B209" s="16">
        <v>3038</v>
      </c>
      <c r="C209" s="15" t="s">
        <v>2</v>
      </c>
      <c r="D209" s="15" t="s">
        <v>1</v>
      </c>
      <c r="E209" s="15" t="s">
        <v>92</v>
      </c>
      <c r="F209" s="15" t="s">
        <v>96</v>
      </c>
      <c r="G209" s="15"/>
      <c r="H209" s="17" t="str" cm="1">
        <f t="array" ref="H209">Reverse2_6(O209)</f>
        <v>00-010101</v>
      </c>
      <c r="I209" s="18" cm="1">
        <f t="array" ref="I209">HEX2DEC(Reverse(P209))</f>
        <v>93631153</v>
      </c>
      <c r="J209" s="18" cm="1">
        <f t="array" ref="J209">IF(Q209&lt;&gt;0, HEX2DEC(Reverse(Q209))-$I209,"")</f>
        <v>82</v>
      </c>
      <c r="K209" s="18" cm="1">
        <f t="array" ref="K209">IF(R209&lt;&gt;0, HEX2DEC(Reverse(R209))-$I209,"")</f>
        <v>17</v>
      </c>
      <c r="L209" s="18" cm="1">
        <f t="array" ref="L209">IF(S209&lt;&gt;0, HEX2DEC(Reverse(S209))-$I209,"")</f>
        <v>83</v>
      </c>
      <c r="M209" s="18" cm="1">
        <f t="array" ref="M209">IF(T209&lt;&gt;0, HEX2DEC(Reverse(T209))-$I209,"")</f>
        <v>18</v>
      </c>
      <c r="O209" s="3">
        <v>1010100</v>
      </c>
      <c r="P209" s="3" t="s">
        <v>114</v>
      </c>
      <c r="Q209" s="3" t="s">
        <v>1072</v>
      </c>
      <c r="R209" s="19" t="s">
        <v>146</v>
      </c>
      <c r="S209" s="3" t="s">
        <v>1075</v>
      </c>
      <c r="T209" s="3" t="s">
        <v>148</v>
      </c>
      <c r="U209" s="3" t="s">
        <v>1076</v>
      </c>
      <c r="V209" s="4" t="s">
        <v>1077</v>
      </c>
    </row>
    <row r="210" spans="1:22" x14ac:dyDescent="0.2">
      <c r="A210" s="16" t="s">
        <v>298</v>
      </c>
      <c r="B210" s="16">
        <v>3039</v>
      </c>
      <c r="C210" s="15" t="s">
        <v>2</v>
      </c>
      <c r="D210" s="15" t="s">
        <v>1</v>
      </c>
      <c r="E210" s="15" t="s">
        <v>92</v>
      </c>
      <c r="F210" s="15" t="s">
        <v>96</v>
      </c>
      <c r="G210" s="15"/>
      <c r="H210" s="17" t="str" cm="1">
        <f t="array" ref="H210">Reverse2_6(O210)</f>
        <v>00-010101</v>
      </c>
      <c r="I210" s="18" cm="1">
        <f t="array" ref="I210">HEX2DEC(Reverse(P210))</f>
        <v>93631153</v>
      </c>
      <c r="J210" s="18" cm="1">
        <f t="array" ref="J210">IF(Q210&lt;&gt;0, HEX2DEC(Reverse(Q210))-$I210,"")</f>
        <v>83</v>
      </c>
      <c r="K210" s="18" cm="1">
        <f t="array" ref="K210">IF(R210&lt;&gt;0, HEX2DEC(Reverse(R210))-$I210,"")</f>
        <v>17</v>
      </c>
      <c r="L210" s="18" cm="1">
        <f t="array" ref="L210">IF(S210&lt;&gt;0, HEX2DEC(Reverse(S210))-$I210,"")</f>
        <v>84</v>
      </c>
      <c r="M210" s="18" cm="1">
        <f t="array" ref="M210">IF(T210&lt;&gt;0, HEX2DEC(Reverse(T210))-$I210,"")</f>
        <v>18</v>
      </c>
      <c r="O210" s="3">
        <v>1010100</v>
      </c>
      <c r="P210" s="3" t="s">
        <v>114</v>
      </c>
      <c r="Q210" s="3" t="s">
        <v>1075</v>
      </c>
      <c r="R210" s="19" t="s">
        <v>146</v>
      </c>
      <c r="S210" s="3" t="s">
        <v>1078</v>
      </c>
      <c r="T210" s="3" t="s">
        <v>148</v>
      </c>
      <c r="U210" s="3" t="s">
        <v>1079</v>
      </c>
      <c r="V210" s="4" t="s">
        <v>1080</v>
      </c>
    </row>
    <row r="211" spans="1:22" x14ac:dyDescent="0.2">
      <c r="A211" s="20" t="s">
        <v>299</v>
      </c>
      <c r="B211" s="20">
        <v>3040</v>
      </c>
      <c r="C211" s="21" t="s">
        <v>1</v>
      </c>
      <c r="D211" s="21" t="s">
        <v>2</v>
      </c>
      <c r="E211" s="21" t="s">
        <v>90</v>
      </c>
      <c r="F211" s="21" t="s">
        <v>94</v>
      </c>
      <c r="G211" s="21" t="s">
        <v>1778</v>
      </c>
      <c r="H211" s="22" t="str" cm="1">
        <f t="array" ref="H211">Reverse2_6(O211)</f>
        <v>00-010201</v>
      </c>
      <c r="I211" s="45" cm="1">
        <f t="array" ref="I211">HEX2DEC(Reverse(P211))</f>
        <v>93631153</v>
      </c>
      <c r="J211" s="45" cm="1">
        <f t="array" ref="J211">IF(Q211&lt;&gt;0, HEX2DEC(Reverse(Q211))-$I211,"")</f>
        <v>17</v>
      </c>
      <c r="K211" s="45" cm="1">
        <f t="array" ref="K211">IF(R211&lt;&gt;0, HEX2DEC(Reverse(R211))-$I211,"")</f>
        <v>82</v>
      </c>
      <c r="L211" s="45" t="str" cm="1">
        <f t="array" ref="L211">IF(S211&lt;&gt;0, HEX2DEC(Reverse(S211))-$I211,"")</f>
        <v/>
      </c>
      <c r="M211" s="45" cm="1">
        <f t="array" ref="M211">IF(T211&lt;&gt;0, HEX2DEC(Reverse(T211))-$I211,"")</f>
        <v>83</v>
      </c>
      <c r="O211" s="3">
        <v>1020100</v>
      </c>
      <c r="P211" s="3" t="s">
        <v>114</v>
      </c>
      <c r="Q211" s="3" t="s">
        <v>146</v>
      </c>
      <c r="R211" s="3" t="s">
        <v>1072</v>
      </c>
      <c r="S211" s="3">
        <v>0</v>
      </c>
      <c r="T211" s="3" t="s">
        <v>1075</v>
      </c>
      <c r="U211" s="3"/>
      <c r="V211" s="4"/>
    </row>
    <row r="212" spans="1:22" x14ac:dyDescent="0.2">
      <c r="A212" s="20" t="s">
        <v>300</v>
      </c>
      <c r="B212" s="20">
        <v>3041</v>
      </c>
      <c r="C212" s="21" t="s">
        <v>1</v>
      </c>
      <c r="D212" s="21" t="s">
        <v>2</v>
      </c>
      <c r="E212" s="21" t="s">
        <v>90</v>
      </c>
      <c r="F212" s="21" t="s">
        <v>94</v>
      </c>
      <c r="G212" s="21" t="s">
        <v>1778</v>
      </c>
      <c r="H212" s="22" t="str" cm="1">
        <f t="array" ref="H212">Reverse2_6(O212)</f>
        <v>00-010201</v>
      </c>
      <c r="I212" s="45" cm="1">
        <f t="array" ref="I212">HEX2DEC(Reverse(P212))</f>
        <v>93631153</v>
      </c>
      <c r="J212" s="45" cm="1">
        <f t="array" ref="J212">IF(Q212&lt;&gt;0, HEX2DEC(Reverse(Q212))-$I212,"")</f>
        <v>17</v>
      </c>
      <c r="K212" s="45" cm="1">
        <f t="array" ref="K212">IF(R212&lt;&gt;0, HEX2DEC(Reverse(R212))-$I212,"")</f>
        <v>83</v>
      </c>
      <c r="L212" s="45" t="str" cm="1">
        <f t="array" ref="L212">IF(S212&lt;&gt;0, HEX2DEC(Reverse(S212))-$I212,"")</f>
        <v/>
      </c>
      <c r="M212" s="45" cm="1">
        <f t="array" ref="M212">IF(T212&lt;&gt;0, HEX2DEC(Reverse(T212))-$I212,"")</f>
        <v>84</v>
      </c>
      <c r="O212" s="3">
        <v>1020100</v>
      </c>
      <c r="P212" s="3" t="s">
        <v>114</v>
      </c>
      <c r="Q212" s="3" t="s">
        <v>146</v>
      </c>
      <c r="R212" s="3" t="s">
        <v>1075</v>
      </c>
      <c r="S212" s="3">
        <v>0</v>
      </c>
      <c r="T212" s="3" t="s">
        <v>1078</v>
      </c>
      <c r="U212" s="3"/>
      <c r="V212" s="4"/>
    </row>
    <row r="213" spans="1:22" x14ac:dyDescent="0.2">
      <c r="A213" s="16" t="s">
        <v>301</v>
      </c>
      <c r="B213" s="16">
        <v>3043</v>
      </c>
      <c r="C213" s="15" t="s">
        <v>2</v>
      </c>
      <c r="D213" s="15" t="s">
        <v>1</v>
      </c>
      <c r="E213" s="15" t="s">
        <v>92</v>
      </c>
      <c r="F213" s="15" t="s">
        <v>96</v>
      </c>
      <c r="G213" s="15"/>
      <c r="H213" s="17" t="str" cm="1">
        <f t="array" ref="H213">Reverse2_6(O213)</f>
        <v>00-010101</v>
      </c>
      <c r="I213" s="18" cm="1">
        <f t="array" ref="I213">HEX2DEC(Reverse(P213))</f>
        <v>93631153</v>
      </c>
      <c r="J213" s="18" cm="1">
        <f t="array" ref="J213">IF(Q213&lt;&gt;0, HEX2DEC(Reverse(Q213))-$I213,"")</f>
        <v>84</v>
      </c>
      <c r="K213" s="18" cm="1">
        <f t="array" ref="K213">IF(R213&lt;&gt;0, HEX2DEC(Reverse(R213))-$I213,"")</f>
        <v>17</v>
      </c>
      <c r="L213" s="18" cm="1">
        <f t="array" ref="L213">IF(S213&lt;&gt;0, HEX2DEC(Reverse(S213))-$I213,"")</f>
        <v>85</v>
      </c>
      <c r="M213" s="18" cm="1">
        <f t="array" ref="M213">IF(T213&lt;&gt;0, HEX2DEC(Reverse(T213))-$I213,"")</f>
        <v>18</v>
      </c>
      <c r="O213" s="3">
        <v>1010100</v>
      </c>
      <c r="P213" s="3" t="s">
        <v>114</v>
      </c>
      <c r="Q213" s="3" t="s">
        <v>1078</v>
      </c>
      <c r="R213" s="19" t="s">
        <v>146</v>
      </c>
      <c r="S213" s="3" t="s">
        <v>1081</v>
      </c>
      <c r="T213" s="3" t="s">
        <v>148</v>
      </c>
      <c r="U213" s="3" t="s">
        <v>1082</v>
      </c>
      <c r="V213" s="4" t="s">
        <v>1083</v>
      </c>
    </row>
    <row r="214" spans="1:22" x14ac:dyDescent="0.2">
      <c r="A214" s="16" t="s">
        <v>302</v>
      </c>
      <c r="B214" s="16">
        <v>3044</v>
      </c>
      <c r="C214" s="15" t="s">
        <v>2</v>
      </c>
      <c r="D214" s="15" t="s">
        <v>1</v>
      </c>
      <c r="E214" s="15" t="s">
        <v>92</v>
      </c>
      <c r="F214" s="15" t="s">
        <v>96</v>
      </c>
      <c r="G214" s="15"/>
      <c r="H214" s="17" t="str" cm="1">
        <f t="array" ref="H214">Reverse2_6(O214)</f>
        <v>00-010101</v>
      </c>
      <c r="I214" s="18" cm="1">
        <f t="array" ref="I214">HEX2DEC(Reverse(P214))</f>
        <v>93631153</v>
      </c>
      <c r="J214" s="18" cm="1">
        <f t="array" ref="J214">IF(Q214&lt;&gt;0, HEX2DEC(Reverse(Q214))-$I214,"")</f>
        <v>85</v>
      </c>
      <c r="K214" s="18" cm="1">
        <f t="array" ref="K214">IF(R214&lt;&gt;0, HEX2DEC(Reverse(R214))-$I214,"")</f>
        <v>17</v>
      </c>
      <c r="L214" s="18" cm="1">
        <f t="array" ref="L214">IF(S214&lt;&gt;0, HEX2DEC(Reverse(S214))-$I214,"")</f>
        <v>86</v>
      </c>
      <c r="M214" s="18" cm="1">
        <f t="array" ref="M214">IF(T214&lt;&gt;0, HEX2DEC(Reverse(T214))-$I214,"")</f>
        <v>18</v>
      </c>
      <c r="O214" s="3">
        <v>1010100</v>
      </c>
      <c r="P214" s="3" t="s">
        <v>114</v>
      </c>
      <c r="Q214" s="3" t="s">
        <v>1081</v>
      </c>
      <c r="R214" s="19" t="s">
        <v>146</v>
      </c>
      <c r="S214" s="3" t="s">
        <v>1084</v>
      </c>
      <c r="T214" s="3" t="s">
        <v>148</v>
      </c>
      <c r="U214" s="3" t="s">
        <v>1085</v>
      </c>
      <c r="V214" s="4" t="s">
        <v>1086</v>
      </c>
    </row>
    <row r="215" spans="1:22" x14ac:dyDescent="0.2">
      <c r="A215" s="16" t="s">
        <v>303</v>
      </c>
      <c r="B215" s="16">
        <v>3045</v>
      </c>
      <c r="C215" s="15" t="s">
        <v>2</v>
      </c>
      <c r="D215" s="15" t="s">
        <v>1</v>
      </c>
      <c r="E215" s="15" t="s">
        <v>92</v>
      </c>
      <c r="F215" s="15" t="s">
        <v>96</v>
      </c>
      <c r="G215" s="15"/>
      <c r="H215" s="17" t="str" cm="1">
        <f t="array" ref="H215">Reverse2_6(O215)</f>
        <v>00-010101</v>
      </c>
      <c r="I215" s="18" cm="1">
        <f t="array" ref="I215">HEX2DEC(Reverse(P215))</f>
        <v>93631153</v>
      </c>
      <c r="J215" s="18" cm="1">
        <f t="array" ref="J215">IF(Q215&lt;&gt;0, HEX2DEC(Reverse(Q215))-$I215,"")</f>
        <v>86</v>
      </c>
      <c r="K215" s="18" cm="1">
        <f t="array" ref="K215">IF(R215&lt;&gt;0, HEX2DEC(Reverse(R215))-$I215,"")</f>
        <v>17</v>
      </c>
      <c r="L215" s="18" cm="1">
        <f t="array" ref="L215">IF(S215&lt;&gt;0, HEX2DEC(Reverse(S215))-$I215,"")</f>
        <v>87</v>
      </c>
      <c r="M215" s="18" cm="1">
        <f t="array" ref="M215">IF(T215&lt;&gt;0, HEX2DEC(Reverse(T215))-$I215,"")</f>
        <v>18</v>
      </c>
      <c r="O215" s="3">
        <v>1010100</v>
      </c>
      <c r="P215" s="3" t="s">
        <v>114</v>
      </c>
      <c r="Q215" s="3" t="s">
        <v>1084</v>
      </c>
      <c r="R215" s="19" t="s">
        <v>146</v>
      </c>
      <c r="S215" s="3" t="s">
        <v>1087</v>
      </c>
      <c r="T215" s="3" t="s">
        <v>148</v>
      </c>
      <c r="U215" s="3" t="s">
        <v>1088</v>
      </c>
      <c r="V215" s="4" t="s">
        <v>1089</v>
      </c>
    </row>
    <row r="216" spans="1:22" x14ac:dyDescent="0.2">
      <c r="A216" s="16" t="s">
        <v>304</v>
      </c>
      <c r="B216" s="16">
        <v>3046</v>
      </c>
      <c r="C216" s="15" t="s">
        <v>2</v>
      </c>
      <c r="D216" s="15" t="s">
        <v>1</v>
      </c>
      <c r="E216" s="15" t="s">
        <v>92</v>
      </c>
      <c r="F216" s="15" t="s">
        <v>96</v>
      </c>
      <c r="G216" s="15"/>
      <c r="H216" s="17" t="str" cm="1">
        <f t="array" ref="H216">Reverse2_6(O216)</f>
        <v>00-010101</v>
      </c>
      <c r="I216" s="18" cm="1">
        <f t="array" ref="I216">HEX2DEC(Reverse(P216))</f>
        <v>93631153</v>
      </c>
      <c r="J216" s="18" cm="1">
        <f t="array" ref="J216">IF(Q216&lt;&gt;0, HEX2DEC(Reverse(Q216))-$I216,"")</f>
        <v>87</v>
      </c>
      <c r="K216" s="18" cm="1">
        <f t="array" ref="K216">IF(R216&lt;&gt;0, HEX2DEC(Reverse(R216))-$I216,"")</f>
        <v>17</v>
      </c>
      <c r="L216" s="18" cm="1">
        <f t="array" ref="L216">IF(S216&lt;&gt;0, HEX2DEC(Reverse(S216))-$I216,"")</f>
        <v>88</v>
      </c>
      <c r="M216" s="18" cm="1">
        <f t="array" ref="M216">IF(T216&lt;&gt;0, HEX2DEC(Reverse(T216))-$I216,"")</f>
        <v>18</v>
      </c>
      <c r="O216" s="3">
        <v>1010100</v>
      </c>
      <c r="P216" s="3" t="s">
        <v>114</v>
      </c>
      <c r="Q216" s="3" t="s">
        <v>1087</v>
      </c>
      <c r="R216" s="19" t="s">
        <v>146</v>
      </c>
      <c r="S216" s="3" t="s">
        <v>1090</v>
      </c>
      <c r="T216" s="3" t="s">
        <v>148</v>
      </c>
      <c r="U216" s="3" t="s">
        <v>1091</v>
      </c>
      <c r="V216" s="4" t="s">
        <v>1092</v>
      </c>
    </row>
    <row r="217" spans="1:22" x14ac:dyDescent="0.2">
      <c r="A217" s="16" t="s">
        <v>305</v>
      </c>
      <c r="B217" s="16">
        <v>3047</v>
      </c>
      <c r="C217" s="15" t="s">
        <v>2</v>
      </c>
      <c r="D217" s="15" t="s">
        <v>1</v>
      </c>
      <c r="E217" s="15" t="s">
        <v>92</v>
      </c>
      <c r="F217" s="15" t="s">
        <v>96</v>
      </c>
      <c r="G217" s="15"/>
      <c r="H217" s="17" t="str" cm="1">
        <f t="array" ref="H217">Reverse2_6(O217)</f>
        <v>00-010101</v>
      </c>
      <c r="I217" s="18" cm="1">
        <f t="array" ref="I217">HEX2DEC(Reverse(P217))</f>
        <v>93631153</v>
      </c>
      <c r="J217" s="18" cm="1">
        <f t="array" ref="J217">IF(Q217&lt;&gt;0, HEX2DEC(Reverse(Q217))-$I217,"")</f>
        <v>88</v>
      </c>
      <c r="K217" s="18" cm="1">
        <f t="array" ref="K217">IF(R217&lt;&gt;0, HEX2DEC(Reverse(R217))-$I217,"")</f>
        <v>17</v>
      </c>
      <c r="L217" s="18" cm="1">
        <f t="array" ref="L217">IF(S217&lt;&gt;0, HEX2DEC(Reverse(S217))-$I217,"")</f>
        <v>89</v>
      </c>
      <c r="M217" s="18" cm="1">
        <f t="array" ref="M217">IF(T217&lt;&gt;0, HEX2DEC(Reverse(T217))-$I217,"")</f>
        <v>18</v>
      </c>
      <c r="O217" s="3">
        <v>1010100</v>
      </c>
      <c r="P217" s="3" t="s">
        <v>114</v>
      </c>
      <c r="Q217" s="3" t="s">
        <v>1090</v>
      </c>
      <c r="R217" s="19" t="s">
        <v>146</v>
      </c>
      <c r="S217" s="3" t="s">
        <v>1093</v>
      </c>
      <c r="T217" s="3" t="s">
        <v>148</v>
      </c>
      <c r="U217" s="3" t="s">
        <v>1094</v>
      </c>
      <c r="V217" s="4" t="s">
        <v>1095</v>
      </c>
    </row>
    <row r="218" spans="1:22" x14ac:dyDescent="0.2">
      <c r="A218" s="16" t="s">
        <v>306</v>
      </c>
      <c r="B218" s="16">
        <v>3048</v>
      </c>
      <c r="C218" s="15" t="s">
        <v>2</v>
      </c>
      <c r="D218" s="15" t="s">
        <v>1</v>
      </c>
      <c r="E218" s="15" t="s">
        <v>92</v>
      </c>
      <c r="F218" s="15" t="s">
        <v>96</v>
      </c>
      <c r="G218" s="15"/>
      <c r="H218" s="17" t="str" cm="1">
        <f t="array" ref="H218">Reverse2_6(O218)</f>
        <v>00-010101</v>
      </c>
      <c r="I218" s="18" cm="1">
        <f t="array" ref="I218">HEX2DEC(Reverse(P218))</f>
        <v>93631153</v>
      </c>
      <c r="J218" s="18" cm="1">
        <f t="array" ref="J218">IF(Q218&lt;&gt;0, HEX2DEC(Reverse(Q218))-$I218,"")</f>
        <v>89</v>
      </c>
      <c r="K218" s="18" cm="1">
        <f t="array" ref="K218">IF(R218&lt;&gt;0, HEX2DEC(Reverse(R218))-$I218,"")</f>
        <v>17</v>
      </c>
      <c r="L218" s="18" cm="1">
        <f t="array" ref="L218">IF(S218&lt;&gt;0, HEX2DEC(Reverse(S218))-$I218,"")</f>
        <v>90</v>
      </c>
      <c r="M218" s="18" cm="1">
        <f t="array" ref="M218">IF(T218&lt;&gt;0, HEX2DEC(Reverse(T218))-$I218,"")</f>
        <v>18</v>
      </c>
      <c r="O218" s="3">
        <v>1010100</v>
      </c>
      <c r="P218" s="3" t="s">
        <v>114</v>
      </c>
      <c r="Q218" s="3" t="s">
        <v>1093</v>
      </c>
      <c r="R218" s="19" t="s">
        <v>146</v>
      </c>
      <c r="S218" s="3" t="s">
        <v>1096</v>
      </c>
      <c r="T218" s="3" t="s">
        <v>148</v>
      </c>
      <c r="U218" s="3" t="s">
        <v>1097</v>
      </c>
      <c r="V218" s="4" t="s">
        <v>1098</v>
      </c>
    </row>
    <row r="219" spans="1:22" x14ac:dyDescent="0.2">
      <c r="A219" s="16" t="s">
        <v>307</v>
      </c>
      <c r="B219" s="16">
        <v>3049</v>
      </c>
      <c r="C219" s="15" t="s">
        <v>2</v>
      </c>
      <c r="D219" s="15" t="s">
        <v>1</v>
      </c>
      <c r="E219" s="15" t="s">
        <v>92</v>
      </c>
      <c r="F219" s="15" t="s">
        <v>96</v>
      </c>
      <c r="G219" s="15"/>
      <c r="H219" s="17" t="str" cm="1">
        <f t="array" ref="H219">Reverse2_6(O219)</f>
        <v>00-010101</v>
      </c>
      <c r="I219" s="18" cm="1">
        <f t="array" ref="I219">HEX2DEC(Reverse(P219))</f>
        <v>93631153</v>
      </c>
      <c r="J219" s="18" cm="1">
        <f t="array" ref="J219">IF(Q219&lt;&gt;0, HEX2DEC(Reverse(Q219))-$I219,"")</f>
        <v>90</v>
      </c>
      <c r="K219" s="18" cm="1">
        <f t="array" ref="K219">IF(R219&lt;&gt;0, HEX2DEC(Reverse(R219))-$I219,"")</f>
        <v>17</v>
      </c>
      <c r="L219" s="18" cm="1">
        <f t="array" ref="L219">IF(S219&lt;&gt;0, HEX2DEC(Reverse(S219))-$I219,"")</f>
        <v>91</v>
      </c>
      <c r="M219" s="18" cm="1">
        <f t="array" ref="M219">IF(T219&lt;&gt;0, HEX2DEC(Reverse(T219))-$I219,"")</f>
        <v>18</v>
      </c>
      <c r="O219" s="3">
        <v>1010100</v>
      </c>
      <c r="P219" s="3" t="s">
        <v>114</v>
      </c>
      <c r="Q219" s="3" t="s">
        <v>1096</v>
      </c>
      <c r="R219" s="19" t="s">
        <v>146</v>
      </c>
      <c r="S219" s="3" t="s">
        <v>1099</v>
      </c>
      <c r="T219" s="3" t="s">
        <v>148</v>
      </c>
      <c r="U219" s="3" t="s">
        <v>1100</v>
      </c>
      <c r="V219" s="4" t="s">
        <v>1101</v>
      </c>
    </row>
    <row r="220" spans="1:22" x14ac:dyDescent="0.2">
      <c r="A220" s="16" t="s">
        <v>308</v>
      </c>
      <c r="B220" s="16">
        <v>3050</v>
      </c>
      <c r="C220" s="15" t="s">
        <v>2</v>
      </c>
      <c r="D220" s="15" t="s">
        <v>1</v>
      </c>
      <c r="E220" s="15" t="s">
        <v>92</v>
      </c>
      <c r="F220" s="15" t="s">
        <v>96</v>
      </c>
      <c r="G220" s="15"/>
      <c r="H220" s="17" t="str" cm="1">
        <f t="array" ref="H220">Reverse2_6(O220)</f>
        <v>00-010101</v>
      </c>
      <c r="I220" s="18" cm="1">
        <f t="array" ref="I220">HEX2DEC(Reverse(P220))</f>
        <v>93631153</v>
      </c>
      <c r="J220" s="18" cm="1">
        <f t="array" ref="J220">IF(Q220&lt;&gt;0, HEX2DEC(Reverse(Q220))-$I220,"")</f>
        <v>91</v>
      </c>
      <c r="K220" s="18" cm="1">
        <f t="array" ref="K220">IF(R220&lt;&gt;0, HEX2DEC(Reverse(R220))-$I220,"")</f>
        <v>17</v>
      </c>
      <c r="L220" s="18" cm="1">
        <f t="array" ref="L220">IF(S220&lt;&gt;0, HEX2DEC(Reverse(S220))-$I220,"")</f>
        <v>92</v>
      </c>
      <c r="M220" s="18" cm="1">
        <f t="array" ref="M220">IF(T220&lt;&gt;0, HEX2DEC(Reverse(T220))-$I220,"")</f>
        <v>18</v>
      </c>
      <c r="O220" s="3">
        <v>1010100</v>
      </c>
      <c r="P220" s="3" t="s">
        <v>114</v>
      </c>
      <c r="Q220" s="3" t="s">
        <v>1099</v>
      </c>
      <c r="R220" s="19" t="s">
        <v>146</v>
      </c>
      <c r="S220" s="3" t="s">
        <v>1102</v>
      </c>
      <c r="T220" s="3" t="s">
        <v>148</v>
      </c>
      <c r="U220" s="3" t="s">
        <v>1103</v>
      </c>
      <c r="V220" s="4" t="s">
        <v>1104</v>
      </c>
    </row>
    <row r="221" spans="1:22" x14ac:dyDescent="0.2">
      <c r="A221" s="16" t="s">
        <v>309</v>
      </c>
      <c r="B221" s="16">
        <v>3051</v>
      </c>
      <c r="C221" s="15" t="s">
        <v>2</v>
      </c>
      <c r="D221" s="15" t="s">
        <v>1</v>
      </c>
      <c r="E221" s="15" t="s">
        <v>92</v>
      </c>
      <c r="F221" s="15" t="s">
        <v>96</v>
      </c>
      <c r="G221" s="15"/>
      <c r="H221" s="17" t="str" cm="1">
        <f t="array" ref="H221">Reverse2_6(O221)</f>
        <v>00-010101</v>
      </c>
      <c r="I221" s="18" cm="1">
        <f t="array" ref="I221">HEX2DEC(Reverse(P221))</f>
        <v>93631153</v>
      </c>
      <c r="J221" s="18" cm="1">
        <f t="array" ref="J221">IF(Q221&lt;&gt;0, HEX2DEC(Reverse(Q221))-$I221,"")</f>
        <v>92</v>
      </c>
      <c r="K221" s="18" cm="1">
        <f t="array" ref="K221">IF(R221&lt;&gt;0, HEX2DEC(Reverse(R221))-$I221,"")</f>
        <v>17</v>
      </c>
      <c r="L221" s="18" cm="1">
        <f t="array" ref="L221">IF(S221&lt;&gt;0, HEX2DEC(Reverse(S221))-$I221,"")</f>
        <v>93</v>
      </c>
      <c r="M221" s="18" cm="1">
        <f t="array" ref="M221">IF(T221&lt;&gt;0, HEX2DEC(Reverse(T221))-$I221,"")</f>
        <v>18</v>
      </c>
      <c r="O221" s="3">
        <v>1010100</v>
      </c>
      <c r="P221" s="3" t="s">
        <v>114</v>
      </c>
      <c r="Q221" s="3" t="s">
        <v>1102</v>
      </c>
      <c r="R221" s="19" t="s">
        <v>146</v>
      </c>
      <c r="S221" s="3" t="s">
        <v>1105</v>
      </c>
      <c r="T221" s="3" t="s">
        <v>148</v>
      </c>
      <c r="U221" s="3" t="s">
        <v>1106</v>
      </c>
      <c r="V221" s="4" t="s">
        <v>1107</v>
      </c>
    </row>
    <row r="222" spans="1:22" x14ac:dyDescent="0.2">
      <c r="A222" s="16" t="s">
        <v>310</v>
      </c>
      <c r="B222" s="16">
        <v>3052</v>
      </c>
      <c r="C222" s="15" t="s">
        <v>2</v>
      </c>
      <c r="D222" s="15" t="s">
        <v>1</v>
      </c>
      <c r="E222" s="15" t="s">
        <v>92</v>
      </c>
      <c r="F222" s="15" t="s">
        <v>96</v>
      </c>
      <c r="G222" s="15"/>
      <c r="H222" s="17" t="str" cm="1">
        <f t="array" ref="H222">Reverse2_6(O222)</f>
        <v>00-010101</v>
      </c>
      <c r="I222" s="18" cm="1">
        <f t="array" ref="I222">HEX2DEC(Reverse(P222))</f>
        <v>93631153</v>
      </c>
      <c r="J222" s="18" cm="1">
        <f t="array" ref="J222">IF(Q222&lt;&gt;0, HEX2DEC(Reverse(Q222))-$I222,"")</f>
        <v>93</v>
      </c>
      <c r="K222" s="18" cm="1">
        <f t="array" ref="K222">IF(R222&lt;&gt;0, HEX2DEC(Reverse(R222))-$I222,"")</f>
        <v>17</v>
      </c>
      <c r="L222" s="18" cm="1">
        <f t="array" ref="L222">IF(S222&lt;&gt;0, HEX2DEC(Reverse(S222))-$I222,"")</f>
        <v>94</v>
      </c>
      <c r="M222" s="18" cm="1">
        <f t="array" ref="M222">IF(T222&lt;&gt;0, HEX2DEC(Reverse(T222))-$I222,"")</f>
        <v>18</v>
      </c>
      <c r="O222" s="3">
        <v>1010100</v>
      </c>
      <c r="P222" s="3" t="s">
        <v>114</v>
      </c>
      <c r="Q222" s="3" t="s">
        <v>1105</v>
      </c>
      <c r="R222" s="19" t="s">
        <v>146</v>
      </c>
      <c r="S222" s="3" t="s">
        <v>1108</v>
      </c>
      <c r="T222" s="3" t="s">
        <v>148</v>
      </c>
      <c r="U222" s="3" t="s">
        <v>1109</v>
      </c>
      <c r="V222" s="4" t="s">
        <v>1110</v>
      </c>
    </row>
    <row r="223" spans="1:22" x14ac:dyDescent="0.2">
      <c r="A223" s="16" t="s">
        <v>311</v>
      </c>
      <c r="B223" s="16">
        <v>3053</v>
      </c>
      <c r="C223" s="15" t="s">
        <v>2</v>
      </c>
      <c r="D223" s="15" t="s">
        <v>1</v>
      </c>
      <c r="E223" s="15" t="s">
        <v>92</v>
      </c>
      <c r="F223" s="15" t="s">
        <v>96</v>
      </c>
      <c r="G223" s="15"/>
      <c r="H223" s="17" t="str" cm="1">
        <f t="array" ref="H223">Reverse2_6(O223)</f>
        <v>00-010101</v>
      </c>
      <c r="I223" s="18" cm="1">
        <f t="array" ref="I223">HEX2DEC(Reverse(P223))</f>
        <v>93631153</v>
      </c>
      <c r="J223" s="18" cm="1">
        <f t="array" ref="J223">IF(Q223&lt;&gt;0, HEX2DEC(Reverse(Q223))-$I223,"")</f>
        <v>94</v>
      </c>
      <c r="K223" s="18" cm="1">
        <f t="array" ref="K223">IF(R223&lt;&gt;0, HEX2DEC(Reverse(R223))-$I223,"")</f>
        <v>17</v>
      </c>
      <c r="L223" s="18" cm="1">
        <f t="array" ref="L223">IF(S223&lt;&gt;0, HEX2DEC(Reverse(S223))-$I223,"")</f>
        <v>95</v>
      </c>
      <c r="M223" s="18" cm="1">
        <f t="array" ref="M223">IF(T223&lt;&gt;0, HEX2DEC(Reverse(T223))-$I223,"")</f>
        <v>18</v>
      </c>
      <c r="O223" s="3">
        <v>1010100</v>
      </c>
      <c r="P223" s="3" t="s">
        <v>114</v>
      </c>
      <c r="Q223" s="3" t="s">
        <v>1108</v>
      </c>
      <c r="R223" s="19" t="s">
        <v>146</v>
      </c>
      <c r="S223" s="3" t="s">
        <v>1111</v>
      </c>
      <c r="T223" s="3" t="s">
        <v>148</v>
      </c>
      <c r="U223" s="3" t="s">
        <v>1112</v>
      </c>
      <c r="V223" s="4" t="s">
        <v>1113</v>
      </c>
    </row>
    <row r="224" spans="1:22" x14ac:dyDescent="0.2">
      <c r="A224" s="16" t="s">
        <v>312</v>
      </c>
      <c r="B224" s="16">
        <v>3054</v>
      </c>
      <c r="C224" s="15" t="s">
        <v>2</v>
      </c>
      <c r="D224" s="15" t="s">
        <v>1</v>
      </c>
      <c r="E224" s="15" t="s">
        <v>92</v>
      </c>
      <c r="F224" s="15" t="s">
        <v>96</v>
      </c>
      <c r="G224" s="15"/>
      <c r="H224" s="17" t="str" cm="1">
        <f t="array" ref="H224">Reverse2_6(O224)</f>
        <v>00-010101</v>
      </c>
      <c r="I224" s="18" cm="1">
        <f t="array" ref="I224">HEX2DEC(Reverse(P224))</f>
        <v>93631153</v>
      </c>
      <c r="J224" s="18" cm="1">
        <f t="array" ref="J224">IF(Q224&lt;&gt;0, HEX2DEC(Reverse(Q224))-$I224,"")</f>
        <v>95</v>
      </c>
      <c r="K224" s="18" cm="1">
        <f t="array" ref="K224">IF(R224&lt;&gt;0, HEX2DEC(Reverse(R224))-$I224,"")</f>
        <v>17</v>
      </c>
      <c r="L224" s="18" cm="1">
        <f t="array" ref="L224">IF(S224&lt;&gt;0, HEX2DEC(Reverse(S224))-$I224,"")</f>
        <v>96</v>
      </c>
      <c r="M224" s="18" cm="1">
        <f t="array" ref="M224">IF(T224&lt;&gt;0, HEX2DEC(Reverse(T224))-$I224,"")</f>
        <v>18</v>
      </c>
      <c r="O224" s="3">
        <v>1010100</v>
      </c>
      <c r="P224" s="3" t="s">
        <v>114</v>
      </c>
      <c r="Q224" s="3" t="s">
        <v>1111</v>
      </c>
      <c r="R224" s="19" t="s">
        <v>146</v>
      </c>
      <c r="S224" s="3" t="s">
        <v>1114</v>
      </c>
      <c r="T224" s="3" t="s">
        <v>148</v>
      </c>
      <c r="U224" s="3" t="s">
        <v>1115</v>
      </c>
      <c r="V224" s="4" t="s">
        <v>1116</v>
      </c>
    </row>
    <row r="225" spans="1:22" x14ac:dyDescent="0.2">
      <c r="A225" s="16" t="s">
        <v>313</v>
      </c>
      <c r="B225" s="16">
        <v>3056</v>
      </c>
      <c r="C225" s="15" t="s">
        <v>2</v>
      </c>
      <c r="D225" s="15" t="s">
        <v>1</v>
      </c>
      <c r="E225" s="15" t="s">
        <v>92</v>
      </c>
      <c r="F225" s="15" t="s">
        <v>96</v>
      </c>
      <c r="G225" s="15"/>
      <c r="H225" s="17" t="str" cm="1">
        <f t="array" ref="H225">Reverse2_6(O225)</f>
        <v>00-010101</v>
      </c>
      <c r="I225" s="18" cm="1">
        <f t="array" ref="I225">HEX2DEC(Reverse(P225))</f>
        <v>93631153</v>
      </c>
      <c r="J225" s="18" cm="1">
        <f t="array" ref="J225">IF(Q225&lt;&gt;0, HEX2DEC(Reverse(Q225))-$I225,"")</f>
        <v>96</v>
      </c>
      <c r="K225" s="18" cm="1">
        <f t="array" ref="K225">IF(R225&lt;&gt;0, HEX2DEC(Reverse(R225))-$I225,"")</f>
        <v>17</v>
      </c>
      <c r="L225" s="18" cm="1">
        <f t="array" ref="L225">IF(S225&lt;&gt;0, HEX2DEC(Reverse(S225))-$I225,"")</f>
        <v>97</v>
      </c>
      <c r="M225" s="18" cm="1">
        <f t="array" ref="M225">IF(T225&lt;&gt;0, HEX2DEC(Reverse(T225))-$I225,"")</f>
        <v>18</v>
      </c>
      <c r="O225" s="3">
        <v>1010100</v>
      </c>
      <c r="P225" s="3" t="s">
        <v>114</v>
      </c>
      <c r="Q225" s="3" t="s">
        <v>1114</v>
      </c>
      <c r="R225" s="19" t="s">
        <v>146</v>
      </c>
      <c r="S225" s="3" t="s">
        <v>1117</v>
      </c>
      <c r="T225" s="3" t="s">
        <v>148</v>
      </c>
      <c r="U225" s="3" t="s">
        <v>1118</v>
      </c>
      <c r="V225" s="4" t="s">
        <v>1119</v>
      </c>
    </row>
    <row r="226" spans="1:22" x14ac:dyDescent="0.2">
      <c r="A226" s="16" t="s">
        <v>314</v>
      </c>
      <c r="B226" s="16">
        <v>3057</v>
      </c>
      <c r="C226" s="15" t="s">
        <v>2</v>
      </c>
      <c r="D226" s="15" t="s">
        <v>1</v>
      </c>
      <c r="E226" s="15" t="s">
        <v>92</v>
      </c>
      <c r="F226" s="15" t="s">
        <v>96</v>
      </c>
      <c r="G226" s="15"/>
      <c r="H226" s="17" t="str" cm="1">
        <f t="array" ref="H226">Reverse2_6(O226)</f>
        <v>00-010101</v>
      </c>
      <c r="I226" s="18" cm="1">
        <f t="array" ref="I226">HEX2DEC(Reverse(P226))</f>
        <v>93631153</v>
      </c>
      <c r="J226" s="18" cm="1">
        <f t="array" ref="J226">IF(Q226&lt;&gt;0, HEX2DEC(Reverse(Q226))-$I226,"")</f>
        <v>97</v>
      </c>
      <c r="K226" s="18" cm="1">
        <f t="array" ref="K226">IF(R226&lt;&gt;0, HEX2DEC(Reverse(R226))-$I226,"")</f>
        <v>17</v>
      </c>
      <c r="L226" s="18" cm="1">
        <f t="array" ref="L226">IF(S226&lt;&gt;0, HEX2DEC(Reverse(S226))-$I226,"")</f>
        <v>98</v>
      </c>
      <c r="M226" s="18" cm="1">
        <f t="array" ref="M226">IF(T226&lt;&gt;0, HEX2DEC(Reverse(T226))-$I226,"")</f>
        <v>18</v>
      </c>
      <c r="O226" s="3">
        <v>1010100</v>
      </c>
      <c r="P226" s="3" t="s">
        <v>114</v>
      </c>
      <c r="Q226" s="3" t="s">
        <v>1117</v>
      </c>
      <c r="R226" s="19" t="s">
        <v>146</v>
      </c>
      <c r="S226" s="3" t="s">
        <v>1120</v>
      </c>
      <c r="T226" s="3" t="s">
        <v>148</v>
      </c>
      <c r="U226" s="3" t="s">
        <v>1121</v>
      </c>
      <c r="V226" s="4" t="s">
        <v>1122</v>
      </c>
    </row>
    <row r="227" spans="1:22" x14ac:dyDescent="0.2">
      <c r="A227" s="16" t="s">
        <v>315</v>
      </c>
      <c r="B227" s="16">
        <v>3058</v>
      </c>
      <c r="C227" s="15" t="s">
        <v>2</v>
      </c>
      <c r="D227" s="15" t="s">
        <v>1</v>
      </c>
      <c r="E227" s="15" t="s">
        <v>92</v>
      </c>
      <c r="F227" s="15" t="s">
        <v>96</v>
      </c>
      <c r="G227" s="15"/>
      <c r="H227" s="17" t="str" cm="1">
        <f t="array" ref="H227">Reverse2_6(O227)</f>
        <v>00-010101</v>
      </c>
      <c r="I227" s="18" cm="1">
        <f t="array" ref="I227">HEX2DEC(Reverse(P227))</f>
        <v>93631153</v>
      </c>
      <c r="J227" s="18" cm="1">
        <f t="array" ref="J227">IF(Q227&lt;&gt;0, HEX2DEC(Reverse(Q227))-$I227,"")</f>
        <v>98</v>
      </c>
      <c r="K227" s="18" cm="1">
        <f t="array" ref="K227">IF(R227&lt;&gt;0, HEX2DEC(Reverse(R227))-$I227,"")</f>
        <v>17</v>
      </c>
      <c r="L227" s="18" cm="1">
        <f t="array" ref="L227">IF(S227&lt;&gt;0, HEX2DEC(Reverse(S227))-$I227,"")</f>
        <v>99</v>
      </c>
      <c r="M227" s="18" cm="1">
        <f t="array" ref="M227">IF(T227&lt;&gt;0, HEX2DEC(Reverse(T227))-$I227,"")</f>
        <v>18</v>
      </c>
      <c r="O227" s="3">
        <v>1010100</v>
      </c>
      <c r="P227" s="3" t="s">
        <v>114</v>
      </c>
      <c r="Q227" s="3" t="s">
        <v>1120</v>
      </c>
      <c r="R227" s="19" t="s">
        <v>146</v>
      </c>
      <c r="S227" s="3" t="s">
        <v>1123</v>
      </c>
      <c r="T227" s="3" t="s">
        <v>148</v>
      </c>
      <c r="U227" s="3" t="s">
        <v>1124</v>
      </c>
      <c r="V227" s="4" t="s">
        <v>1125</v>
      </c>
    </row>
    <row r="228" spans="1:22" x14ac:dyDescent="0.2">
      <c r="A228" s="16" t="s">
        <v>316</v>
      </c>
      <c r="B228" s="16">
        <v>3059</v>
      </c>
      <c r="C228" s="15" t="s">
        <v>2</v>
      </c>
      <c r="D228" s="15" t="s">
        <v>1</v>
      </c>
      <c r="E228" s="15" t="s">
        <v>92</v>
      </c>
      <c r="F228" s="15" t="s">
        <v>96</v>
      </c>
      <c r="G228" s="15"/>
      <c r="H228" s="17" t="str" cm="1">
        <f t="array" ref="H228">Reverse2_6(O228)</f>
        <v>00-010101</v>
      </c>
      <c r="I228" s="18" cm="1">
        <f t="array" ref="I228">HEX2DEC(Reverse(P228))</f>
        <v>93631153</v>
      </c>
      <c r="J228" s="18" cm="1">
        <f t="array" ref="J228">IF(Q228&lt;&gt;0, HEX2DEC(Reverse(Q228))-$I228,"")</f>
        <v>99</v>
      </c>
      <c r="K228" s="18" cm="1">
        <f t="array" ref="K228">IF(R228&lt;&gt;0, HEX2DEC(Reverse(R228))-$I228,"")</f>
        <v>17</v>
      </c>
      <c r="L228" s="18" cm="1">
        <f t="array" ref="L228">IF(S228&lt;&gt;0, HEX2DEC(Reverse(S228))-$I228,"")</f>
        <v>100</v>
      </c>
      <c r="M228" s="18" cm="1">
        <f t="array" ref="M228">IF(T228&lt;&gt;0, HEX2DEC(Reverse(T228))-$I228,"")</f>
        <v>18</v>
      </c>
      <c r="O228" s="3">
        <v>1010100</v>
      </c>
      <c r="P228" s="3" t="s">
        <v>114</v>
      </c>
      <c r="Q228" s="3" t="s">
        <v>1123</v>
      </c>
      <c r="R228" s="19" t="s">
        <v>146</v>
      </c>
      <c r="S228" s="3" t="s">
        <v>1126</v>
      </c>
      <c r="T228" s="3" t="s">
        <v>148</v>
      </c>
      <c r="U228" s="3" t="s">
        <v>1127</v>
      </c>
      <c r="V228" s="4" t="s">
        <v>1128</v>
      </c>
    </row>
    <row r="229" spans="1:22" x14ac:dyDescent="0.2">
      <c r="A229" s="20" t="s">
        <v>317</v>
      </c>
      <c r="B229" s="20">
        <v>3060</v>
      </c>
      <c r="C229" s="21" t="s">
        <v>1</v>
      </c>
      <c r="D229" s="21" t="s">
        <v>2</v>
      </c>
      <c r="E229" s="21" t="s">
        <v>90</v>
      </c>
      <c r="F229" s="21" t="s">
        <v>94</v>
      </c>
      <c r="G229" s="21" t="s">
        <v>1778</v>
      </c>
      <c r="H229" s="22" t="str" cm="1">
        <f t="array" ref="H229">Reverse2_6(O229)</f>
        <v>00-010201</v>
      </c>
      <c r="I229" s="45" cm="1">
        <f t="array" ref="I229">HEX2DEC(Reverse(P229))</f>
        <v>93631153</v>
      </c>
      <c r="J229" s="45" cm="1">
        <f t="array" ref="J229">IF(Q229&lt;&gt;0, HEX2DEC(Reverse(Q229))-$I229,"")</f>
        <v>17</v>
      </c>
      <c r="K229" s="45" cm="1">
        <f t="array" ref="K229">IF(R229&lt;&gt;0, HEX2DEC(Reverse(R229))-$I229,"")</f>
        <v>84</v>
      </c>
      <c r="L229" s="45" t="str" cm="1">
        <f t="array" ref="L229">IF(S229&lt;&gt;0, HEX2DEC(Reverse(S229))-$I229,"")</f>
        <v/>
      </c>
      <c r="M229" s="45" cm="1">
        <f t="array" ref="M229">IF(T229&lt;&gt;0, HEX2DEC(Reverse(T229))-$I229,"")</f>
        <v>85</v>
      </c>
      <c r="O229" s="3">
        <v>1020100</v>
      </c>
      <c r="P229" s="3" t="s">
        <v>114</v>
      </c>
      <c r="Q229" s="3" t="s">
        <v>146</v>
      </c>
      <c r="R229" s="3" t="s">
        <v>1078</v>
      </c>
      <c r="S229" s="3">
        <v>0</v>
      </c>
      <c r="T229" s="3" t="s">
        <v>1081</v>
      </c>
      <c r="U229" s="3"/>
      <c r="V229" s="4"/>
    </row>
    <row r="230" spans="1:22" x14ac:dyDescent="0.2">
      <c r="A230" s="20" t="s">
        <v>318</v>
      </c>
      <c r="B230" s="20">
        <v>3061</v>
      </c>
      <c r="C230" s="21" t="s">
        <v>1</v>
      </c>
      <c r="D230" s="21" t="s">
        <v>2</v>
      </c>
      <c r="E230" s="21" t="s">
        <v>90</v>
      </c>
      <c r="F230" s="21" t="s">
        <v>94</v>
      </c>
      <c r="G230" s="21" t="s">
        <v>1778</v>
      </c>
      <c r="H230" s="22" t="str" cm="1">
        <f t="array" ref="H230">Reverse2_6(O230)</f>
        <v>00-010201</v>
      </c>
      <c r="I230" s="45" cm="1">
        <f t="array" ref="I230">HEX2DEC(Reverse(P230))</f>
        <v>93631153</v>
      </c>
      <c r="J230" s="45" cm="1">
        <f t="array" ref="J230">IF(Q230&lt;&gt;0, HEX2DEC(Reverse(Q230))-$I230,"")</f>
        <v>17</v>
      </c>
      <c r="K230" s="45" cm="1">
        <f t="array" ref="K230">IF(R230&lt;&gt;0, HEX2DEC(Reverse(R230))-$I230,"")</f>
        <v>85</v>
      </c>
      <c r="L230" s="45" t="str" cm="1">
        <f t="array" ref="L230">IF(S230&lt;&gt;0, HEX2DEC(Reverse(S230))-$I230,"")</f>
        <v/>
      </c>
      <c r="M230" s="45" cm="1">
        <f t="array" ref="M230">IF(T230&lt;&gt;0, HEX2DEC(Reverse(T230))-$I230,"")</f>
        <v>86</v>
      </c>
      <c r="O230" s="3">
        <v>1020100</v>
      </c>
      <c r="P230" s="3" t="s">
        <v>114</v>
      </c>
      <c r="Q230" s="3" t="s">
        <v>146</v>
      </c>
      <c r="R230" s="3" t="s">
        <v>1081</v>
      </c>
      <c r="S230" s="3">
        <v>0</v>
      </c>
      <c r="T230" s="3" t="s">
        <v>1084</v>
      </c>
      <c r="U230" s="3"/>
      <c r="V230" s="4"/>
    </row>
    <row r="231" spans="1:22" x14ac:dyDescent="0.2">
      <c r="A231" s="20" t="s">
        <v>319</v>
      </c>
      <c r="B231" s="20">
        <v>3062</v>
      </c>
      <c r="C231" s="21" t="s">
        <v>1</v>
      </c>
      <c r="D231" s="21" t="s">
        <v>2</v>
      </c>
      <c r="E231" s="21" t="s">
        <v>90</v>
      </c>
      <c r="F231" s="21" t="s">
        <v>94</v>
      </c>
      <c r="G231" s="21" t="s">
        <v>1778</v>
      </c>
      <c r="H231" s="22" t="str" cm="1">
        <f t="array" ref="H231">Reverse2_6(O231)</f>
        <v>00-010201</v>
      </c>
      <c r="I231" s="45" cm="1">
        <f t="array" ref="I231">HEX2DEC(Reverse(P231))</f>
        <v>93631153</v>
      </c>
      <c r="J231" s="45" cm="1">
        <f t="array" ref="J231">IF(Q231&lt;&gt;0, HEX2DEC(Reverse(Q231))-$I231,"")</f>
        <v>17</v>
      </c>
      <c r="K231" s="45" cm="1">
        <f t="array" ref="K231">IF(R231&lt;&gt;0, HEX2DEC(Reverse(R231))-$I231,"")</f>
        <v>86</v>
      </c>
      <c r="L231" s="45" t="str" cm="1">
        <f t="array" ref="L231">IF(S231&lt;&gt;0, HEX2DEC(Reverse(S231))-$I231,"")</f>
        <v/>
      </c>
      <c r="M231" s="45" cm="1">
        <f t="array" ref="M231">IF(T231&lt;&gt;0, HEX2DEC(Reverse(T231))-$I231,"")</f>
        <v>87</v>
      </c>
      <c r="O231" s="3">
        <v>1020100</v>
      </c>
      <c r="P231" s="3" t="s">
        <v>114</v>
      </c>
      <c r="Q231" s="3" t="s">
        <v>146</v>
      </c>
      <c r="R231" s="3" t="s">
        <v>1084</v>
      </c>
      <c r="S231" s="3">
        <v>0</v>
      </c>
      <c r="T231" s="3" t="s">
        <v>1087</v>
      </c>
      <c r="U231" s="3"/>
      <c r="V231" s="4"/>
    </row>
    <row r="232" spans="1:22" x14ac:dyDescent="0.2">
      <c r="A232" s="20" t="s">
        <v>320</v>
      </c>
      <c r="B232" s="20">
        <v>3063</v>
      </c>
      <c r="C232" s="21" t="s">
        <v>1</v>
      </c>
      <c r="D232" s="21" t="s">
        <v>2</v>
      </c>
      <c r="E232" s="21" t="s">
        <v>90</v>
      </c>
      <c r="F232" s="21" t="s">
        <v>94</v>
      </c>
      <c r="G232" s="21" t="s">
        <v>1778</v>
      </c>
      <c r="H232" s="22" t="str" cm="1">
        <f t="array" ref="H232">Reverse2_6(O232)</f>
        <v>00-010201</v>
      </c>
      <c r="I232" s="45" cm="1">
        <f t="array" ref="I232">HEX2DEC(Reverse(P232))</f>
        <v>93631153</v>
      </c>
      <c r="J232" s="45" cm="1">
        <f t="array" ref="J232">IF(Q232&lt;&gt;0, HEX2DEC(Reverse(Q232))-$I232,"")</f>
        <v>17</v>
      </c>
      <c r="K232" s="45" cm="1">
        <f t="array" ref="K232">IF(R232&lt;&gt;0, HEX2DEC(Reverse(R232))-$I232,"")</f>
        <v>87</v>
      </c>
      <c r="L232" s="45" t="str" cm="1">
        <f t="array" ref="L232">IF(S232&lt;&gt;0, HEX2DEC(Reverse(S232))-$I232,"")</f>
        <v/>
      </c>
      <c r="M232" s="45" cm="1">
        <f t="array" ref="M232">IF(T232&lt;&gt;0, HEX2DEC(Reverse(T232))-$I232,"")</f>
        <v>88</v>
      </c>
      <c r="O232" s="3">
        <v>1020100</v>
      </c>
      <c r="P232" s="3" t="s">
        <v>114</v>
      </c>
      <c r="Q232" s="3" t="s">
        <v>146</v>
      </c>
      <c r="R232" s="3" t="s">
        <v>1087</v>
      </c>
      <c r="S232" s="3">
        <v>0</v>
      </c>
      <c r="T232" s="3" t="s">
        <v>1090</v>
      </c>
      <c r="U232" s="3"/>
      <c r="V232" s="4"/>
    </row>
    <row r="233" spans="1:22" x14ac:dyDescent="0.2">
      <c r="A233" s="20" t="s">
        <v>321</v>
      </c>
      <c r="B233" s="20">
        <v>3064</v>
      </c>
      <c r="C233" s="21" t="s">
        <v>1</v>
      </c>
      <c r="D233" s="21" t="s">
        <v>2</v>
      </c>
      <c r="E233" s="21" t="s">
        <v>90</v>
      </c>
      <c r="F233" s="21" t="s">
        <v>94</v>
      </c>
      <c r="G233" s="21" t="s">
        <v>1778</v>
      </c>
      <c r="H233" s="22" t="str" cm="1">
        <f t="array" ref="H233">Reverse2_6(O233)</f>
        <v>00-010201</v>
      </c>
      <c r="I233" s="45" cm="1">
        <f t="array" ref="I233">HEX2DEC(Reverse(P233))</f>
        <v>93631153</v>
      </c>
      <c r="J233" s="45" cm="1">
        <f t="array" ref="J233">IF(Q233&lt;&gt;0, HEX2DEC(Reverse(Q233))-$I233,"")</f>
        <v>17</v>
      </c>
      <c r="K233" s="45" cm="1">
        <f t="array" ref="K233">IF(R233&lt;&gt;0, HEX2DEC(Reverse(R233))-$I233,"")</f>
        <v>88</v>
      </c>
      <c r="L233" s="45" t="str" cm="1">
        <f t="array" ref="L233">IF(S233&lt;&gt;0, HEX2DEC(Reverse(S233))-$I233,"")</f>
        <v/>
      </c>
      <c r="M233" s="45" cm="1">
        <f t="array" ref="M233">IF(T233&lt;&gt;0, HEX2DEC(Reverse(T233))-$I233,"")</f>
        <v>89</v>
      </c>
      <c r="O233" s="3">
        <v>1020100</v>
      </c>
      <c r="P233" s="3" t="s">
        <v>114</v>
      </c>
      <c r="Q233" s="3" t="s">
        <v>146</v>
      </c>
      <c r="R233" s="3" t="s">
        <v>1090</v>
      </c>
      <c r="S233" s="3">
        <v>0</v>
      </c>
      <c r="T233" s="3" t="s">
        <v>1093</v>
      </c>
      <c r="U233" s="3"/>
      <c r="V233" s="4"/>
    </row>
    <row r="234" spans="1:22" x14ac:dyDescent="0.2">
      <c r="A234" s="20" t="s">
        <v>322</v>
      </c>
      <c r="B234" s="20">
        <v>3065</v>
      </c>
      <c r="C234" s="21" t="s">
        <v>1</v>
      </c>
      <c r="D234" s="21" t="s">
        <v>2</v>
      </c>
      <c r="E234" s="21" t="s">
        <v>90</v>
      </c>
      <c r="F234" s="21" t="s">
        <v>94</v>
      </c>
      <c r="G234" s="21" t="s">
        <v>1778</v>
      </c>
      <c r="H234" s="22" t="str" cm="1">
        <f t="array" ref="H234">Reverse2_6(O234)</f>
        <v>00-010201</v>
      </c>
      <c r="I234" s="45" cm="1">
        <f t="array" ref="I234">HEX2DEC(Reverse(P234))</f>
        <v>93631153</v>
      </c>
      <c r="J234" s="45" cm="1">
        <f t="array" ref="J234">IF(Q234&lt;&gt;0, HEX2DEC(Reverse(Q234))-$I234,"")</f>
        <v>17</v>
      </c>
      <c r="K234" s="45" cm="1">
        <f t="array" ref="K234">IF(R234&lt;&gt;0, HEX2DEC(Reverse(R234))-$I234,"")</f>
        <v>89</v>
      </c>
      <c r="L234" s="45" t="str" cm="1">
        <f t="array" ref="L234">IF(S234&lt;&gt;0, HEX2DEC(Reverse(S234))-$I234,"")</f>
        <v/>
      </c>
      <c r="M234" s="45" cm="1">
        <f t="array" ref="M234">IF(T234&lt;&gt;0, HEX2DEC(Reverse(T234))-$I234,"")</f>
        <v>90</v>
      </c>
      <c r="O234" s="3">
        <v>1020100</v>
      </c>
      <c r="P234" s="3" t="s">
        <v>114</v>
      </c>
      <c r="Q234" s="3" t="s">
        <v>146</v>
      </c>
      <c r="R234" s="3" t="s">
        <v>1093</v>
      </c>
      <c r="S234" s="3">
        <v>0</v>
      </c>
      <c r="T234" s="3" t="s">
        <v>1096</v>
      </c>
      <c r="U234" s="3"/>
      <c r="V234" s="4"/>
    </row>
    <row r="235" spans="1:22" x14ac:dyDescent="0.2">
      <c r="A235" s="20" t="s">
        <v>323</v>
      </c>
      <c r="B235" s="20">
        <v>3066</v>
      </c>
      <c r="C235" s="21" t="s">
        <v>1</v>
      </c>
      <c r="D235" s="21" t="s">
        <v>2</v>
      </c>
      <c r="E235" s="21" t="s">
        <v>90</v>
      </c>
      <c r="F235" s="21" t="s">
        <v>94</v>
      </c>
      <c r="G235" s="21" t="s">
        <v>1778</v>
      </c>
      <c r="H235" s="22" t="str" cm="1">
        <f t="array" ref="H235">Reverse2_6(O235)</f>
        <v>00-010201</v>
      </c>
      <c r="I235" s="45" cm="1">
        <f t="array" ref="I235">HEX2DEC(Reverse(P235))</f>
        <v>93631153</v>
      </c>
      <c r="J235" s="45" cm="1">
        <f t="array" ref="J235">IF(Q235&lt;&gt;0, HEX2DEC(Reverse(Q235))-$I235,"")</f>
        <v>17</v>
      </c>
      <c r="K235" s="45" cm="1">
        <f t="array" ref="K235">IF(R235&lt;&gt;0, HEX2DEC(Reverse(R235))-$I235,"")</f>
        <v>90</v>
      </c>
      <c r="L235" s="45" t="str" cm="1">
        <f t="array" ref="L235">IF(S235&lt;&gt;0, HEX2DEC(Reverse(S235))-$I235,"")</f>
        <v/>
      </c>
      <c r="M235" s="45" cm="1">
        <f t="array" ref="M235">IF(T235&lt;&gt;0, HEX2DEC(Reverse(T235))-$I235,"")</f>
        <v>91</v>
      </c>
      <c r="O235" s="3">
        <v>1020100</v>
      </c>
      <c r="P235" s="3" t="s">
        <v>114</v>
      </c>
      <c r="Q235" s="3" t="s">
        <v>146</v>
      </c>
      <c r="R235" s="3" t="s">
        <v>1096</v>
      </c>
      <c r="S235" s="3">
        <v>0</v>
      </c>
      <c r="T235" s="3" t="s">
        <v>1099</v>
      </c>
      <c r="U235" s="3"/>
      <c r="V235" s="4"/>
    </row>
    <row r="236" spans="1:22" x14ac:dyDescent="0.2">
      <c r="A236" s="20" t="s">
        <v>324</v>
      </c>
      <c r="B236" s="20">
        <v>3067</v>
      </c>
      <c r="C236" s="21" t="s">
        <v>1</v>
      </c>
      <c r="D236" s="21" t="s">
        <v>2</v>
      </c>
      <c r="E236" s="21" t="s">
        <v>90</v>
      </c>
      <c r="F236" s="21" t="s">
        <v>94</v>
      </c>
      <c r="G236" s="21" t="s">
        <v>1778</v>
      </c>
      <c r="H236" s="22" t="str" cm="1">
        <f t="array" ref="H236">Reverse2_6(O236)</f>
        <v>00-010201</v>
      </c>
      <c r="I236" s="45" cm="1">
        <f t="array" ref="I236">HEX2DEC(Reverse(P236))</f>
        <v>93631153</v>
      </c>
      <c r="J236" s="45" cm="1">
        <f t="array" ref="J236">IF(Q236&lt;&gt;0, HEX2DEC(Reverse(Q236))-$I236,"")</f>
        <v>17</v>
      </c>
      <c r="K236" s="45" cm="1">
        <f t="array" ref="K236">IF(R236&lt;&gt;0, HEX2DEC(Reverse(R236))-$I236,"")</f>
        <v>91</v>
      </c>
      <c r="L236" s="45" t="str" cm="1">
        <f t="array" ref="L236">IF(S236&lt;&gt;0, HEX2DEC(Reverse(S236))-$I236,"")</f>
        <v/>
      </c>
      <c r="M236" s="45" cm="1">
        <f t="array" ref="M236">IF(T236&lt;&gt;0, HEX2DEC(Reverse(T236))-$I236,"")</f>
        <v>92</v>
      </c>
      <c r="O236" s="3">
        <v>1020100</v>
      </c>
      <c r="P236" s="3" t="s">
        <v>114</v>
      </c>
      <c r="Q236" s="3" t="s">
        <v>146</v>
      </c>
      <c r="R236" s="3" t="s">
        <v>1099</v>
      </c>
      <c r="S236" s="3">
        <v>0</v>
      </c>
      <c r="T236" s="3" t="s">
        <v>1102</v>
      </c>
      <c r="U236" s="3"/>
      <c r="V236" s="4"/>
    </row>
    <row r="237" spans="1:22" x14ac:dyDescent="0.2">
      <c r="A237" s="20" t="s">
        <v>325</v>
      </c>
      <c r="B237" s="20">
        <v>3068</v>
      </c>
      <c r="C237" s="21" t="s">
        <v>1</v>
      </c>
      <c r="D237" s="21" t="s">
        <v>2</v>
      </c>
      <c r="E237" s="21" t="s">
        <v>90</v>
      </c>
      <c r="F237" s="21" t="s">
        <v>94</v>
      </c>
      <c r="G237" s="21" t="s">
        <v>1778</v>
      </c>
      <c r="H237" s="22" t="str" cm="1">
        <f t="array" ref="H237">Reverse2_6(O237)</f>
        <v>00-010201</v>
      </c>
      <c r="I237" s="45" cm="1">
        <f t="array" ref="I237">HEX2DEC(Reverse(P237))</f>
        <v>93631153</v>
      </c>
      <c r="J237" s="45" cm="1">
        <f t="array" ref="J237">IF(Q237&lt;&gt;0, HEX2DEC(Reverse(Q237))-$I237,"")</f>
        <v>17</v>
      </c>
      <c r="K237" s="45" cm="1">
        <f t="array" ref="K237">IF(R237&lt;&gt;0, HEX2DEC(Reverse(R237))-$I237,"")</f>
        <v>92</v>
      </c>
      <c r="L237" s="45" t="str" cm="1">
        <f t="array" ref="L237">IF(S237&lt;&gt;0, HEX2DEC(Reverse(S237))-$I237,"")</f>
        <v/>
      </c>
      <c r="M237" s="45" cm="1">
        <f t="array" ref="M237">IF(T237&lt;&gt;0, HEX2DEC(Reverse(T237))-$I237,"")</f>
        <v>93</v>
      </c>
      <c r="O237" s="3">
        <v>1020100</v>
      </c>
      <c r="P237" s="3" t="s">
        <v>114</v>
      </c>
      <c r="Q237" s="3" t="s">
        <v>146</v>
      </c>
      <c r="R237" s="3" t="s">
        <v>1102</v>
      </c>
      <c r="S237" s="3">
        <v>0</v>
      </c>
      <c r="T237" s="3" t="s">
        <v>1105</v>
      </c>
      <c r="U237" s="3"/>
      <c r="V237" s="4"/>
    </row>
    <row r="238" spans="1:22" x14ac:dyDescent="0.2">
      <c r="A238" s="16" t="s">
        <v>326</v>
      </c>
      <c r="B238" s="16">
        <v>3069</v>
      </c>
      <c r="C238" s="15" t="s">
        <v>2</v>
      </c>
      <c r="D238" s="15" t="s">
        <v>1</v>
      </c>
      <c r="E238" s="15" t="s">
        <v>92</v>
      </c>
      <c r="F238" s="15" t="s">
        <v>96</v>
      </c>
      <c r="G238" s="15"/>
      <c r="H238" s="17" t="str" cm="1">
        <f t="array" ref="H238">Reverse2_6(O238)</f>
        <v>00-010101</v>
      </c>
      <c r="I238" s="18" cm="1">
        <f t="array" ref="I238">HEX2DEC(Reverse(P238))</f>
        <v>93631153</v>
      </c>
      <c r="J238" s="18" cm="1">
        <f t="array" ref="J238">IF(Q238&lt;&gt;0, HEX2DEC(Reverse(Q238))-$I238,"")</f>
        <v>100</v>
      </c>
      <c r="K238" s="18" cm="1">
        <f t="array" ref="K238">IF(R238&lt;&gt;0, HEX2DEC(Reverse(R238))-$I238,"")</f>
        <v>17</v>
      </c>
      <c r="L238" s="18" cm="1">
        <f t="array" ref="L238">IF(S238&lt;&gt;0, HEX2DEC(Reverse(S238))-$I238,"")</f>
        <v>101</v>
      </c>
      <c r="M238" s="18" cm="1">
        <f t="array" ref="M238">IF(T238&lt;&gt;0, HEX2DEC(Reverse(T238))-$I238,"")</f>
        <v>18</v>
      </c>
      <c r="O238" s="3">
        <v>1010100</v>
      </c>
      <c r="P238" s="3" t="s">
        <v>114</v>
      </c>
      <c r="Q238" s="3" t="s">
        <v>1126</v>
      </c>
      <c r="R238" s="19" t="s">
        <v>146</v>
      </c>
      <c r="S238" s="3" t="s">
        <v>1129</v>
      </c>
      <c r="T238" s="3" t="s">
        <v>148</v>
      </c>
      <c r="U238" s="3" t="s">
        <v>1130</v>
      </c>
      <c r="V238" s="4" t="s">
        <v>1131</v>
      </c>
    </row>
    <row r="239" spans="1:22" x14ac:dyDescent="0.2">
      <c r="A239" s="20" t="s">
        <v>327</v>
      </c>
      <c r="B239" s="20">
        <v>3070</v>
      </c>
      <c r="C239" s="21" t="s">
        <v>1</v>
      </c>
      <c r="D239" s="21" t="s">
        <v>2</v>
      </c>
      <c r="E239" s="21" t="s">
        <v>90</v>
      </c>
      <c r="F239" s="21" t="s">
        <v>94</v>
      </c>
      <c r="G239" s="21" t="s">
        <v>1778</v>
      </c>
      <c r="H239" s="22" t="str" cm="1">
        <f t="array" ref="H239">Reverse2_6(O239)</f>
        <v>00-010201</v>
      </c>
      <c r="I239" s="45" cm="1">
        <f t="array" ref="I239">HEX2DEC(Reverse(P239))</f>
        <v>93631153</v>
      </c>
      <c r="J239" s="45" cm="1">
        <f t="array" ref="J239">IF(Q239&lt;&gt;0, HEX2DEC(Reverse(Q239))-$I239,"")</f>
        <v>17</v>
      </c>
      <c r="K239" s="45" cm="1">
        <f t="array" ref="K239">IF(R239&lt;&gt;0, HEX2DEC(Reverse(R239))-$I239,"")</f>
        <v>93</v>
      </c>
      <c r="L239" s="45" t="str" cm="1">
        <f t="array" ref="L239">IF(S239&lt;&gt;0, HEX2DEC(Reverse(S239))-$I239,"")</f>
        <v/>
      </c>
      <c r="M239" s="45" cm="1">
        <f t="array" ref="M239">IF(T239&lt;&gt;0, HEX2DEC(Reverse(T239))-$I239,"")</f>
        <v>94</v>
      </c>
      <c r="O239" s="3">
        <v>1020100</v>
      </c>
      <c r="P239" s="3" t="s">
        <v>114</v>
      </c>
      <c r="Q239" s="3" t="s">
        <v>146</v>
      </c>
      <c r="R239" s="3" t="s">
        <v>1105</v>
      </c>
      <c r="S239" s="3">
        <v>0</v>
      </c>
      <c r="T239" s="3" t="s">
        <v>1108</v>
      </c>
      <c r="U239" s="3"/>
      <c r="V239" s="4"/>
    </row>
    <row r="240" spans="1:22" x14ac:dyDescent="0.2">
      <c r="A240" s="20" t="s">
        <v>328</v>
      </c>
      <c r="B240" s="20">
        <v>3071</v>
      </c>
      <c r="C240" s="21" t="s">
        <v>1</v>
      </c>
      <c r="D240" s="21" t="s">
        <v>2</v>
      </c>
      <c r="E240" s="21" t="s">
        <v>90</v>
      </c>
      <c r="F240" s="21" t="s">
        <v>94</v>
      </c>
      <c r="G240" s="21" t="s">
        <v>1778</v>
      </c>
      <c r="H240" s="22" t="str" cm="1">
        <f t="array" ref="H240">Reverse2_6(O240)</f>
        <v>00-010201</v>
      </c>
      <c r="I240" s="45" cm="1">
        <f t="array" ref="I240">HEX2DEC(Reverse(P240))</f>
        <v>93631153</v>
      </c>
      <c r="J240" s="45" cm="1">
        <f t="array" ref="J240">IF(Q240&lt;&gt;0, HEX2DEC(Reverse(Q240))-$I240,"")</f>
        <v>17</v>
      </c>
      <c r="K240" s="45" cm="1">
        <f t="array" ref="K240">IF(R240&lt;&gt;0, HEX2DEC(Reverse(R240))-$I240,"")</f>
        <v>94</v>
      </c>
      <c r="L240" s="45" t="str" cm="1">
        <f t="array" ref="L240">IF(S240&lt;&gt;0, HEX2DEC(Reverse(S240))-$I240,"")</f>
        <v/>
      </c>
      <c r="M240" s="45" cm="1">
        <f t="array" ref="M240">IF(T240&lt;&gt;0, HEX2DEC(Reverse(T240))-$I240,"")</f>
        <v>95</v>
      </c>
      <c r="O240" s="3">
        <v>1020100</v>
      </c>
      <c r="P240" s="3" t="s">
        <v>114</v>
      </c>
      <c r="Q240" s="3" t="s">
        <v>146</v>
      </c>
      <c r="R240" s="3" t="s">
        <v>1108</v>
      </c>
      <c r="S240" s="3">
        <v>0</v>
      </c>
      <c r="T240" s="3" t="s">
        <v>1111</v>
      </c>
      <c r="U240" s="3"/>
      <c r="V240" s="4"/>
    </row>
    <row r="241" spans="1:22" x14ac:dyDescent="0.2">
      <c r="A241" s="20" t="s">
        <v>329</v>
      </c>
      <c r="B241" s="20">
        <v>3072</v>
      </c>
      <c r="C241" s="21" t="s">
        <v>1</v>
      </c>
      <c r="D241" s="21" t="s">
        <v>2</v>
      </c>
      <c r="E241" s="21" t="s">
        <v>90</v>
      </c>
      <c r="F241" s="21" t="s">
        <v>94</v>
      </c>
      <c r="G241" s="21" t="s">
        <v>1778</v>
      </c>
      <c r="H241" s="22" t="str" cm="1">
        <f t="array" ref="H241">Reverse2_6(O241)</f>
        <v>00-010201</v>
      </c>
      <c r="I241" s="45" cm="1">
        <f t="array" ref="I241">HEX2DEC(Reverse(P241))</f>
        <v>93631153</v>
      </c>
      <c r="J241" s="45" cm="1">
        <f t="array" ref="J241">IF(Q241&lt;&gt;0, HEX2DEC(Reverse(Q241))-$I241,"")</f>
        <v>17</v>
      </c>
      <c r="K241" s="45" cm="1">
        <f t="array" ref="K241">IF(R241&lt;&gt;0, HEX2DEC(Reverse(R241))-$I241,"")</f>
        <v>95</v>
      </c>
      <c r="L241" s="45" t="str" cm="1">
        <f t="array" ref="L241">IF(S241&lt;&gt;0, HEX2DEC(Reverse(S241))-$I241,"")</f>
        <v/>
      </c>
      <c r="M241" s="45" cm="1">
        <f t="array" ref="M241">IF(T241&lt;&gt;0, HEX2DEC(Reverse(T241))-$I241,"")</f>
        <v>96</v>
      </c>
      <c r="O241" s="3">
        <v>1020100</v>
      </c>
      <c r="P241" s="3" t="s">
        <v>114</v>
      </c>
      <c r="Q241" s="3" t="s">
        <v>146</v>
      </c>
      <c r="R241" s="3" t="s">
        <v>1111</v>
      </c>
      <c r="S241" s="3">
        <v>0</v>
      </c>
      <c r="T241" s="3" t="s">
        <v>1114</v>
      </c>
      <c r="U241" s="3"/>
      <c r="V241" s="4"/>
    </row>
    <row r="242" spans="1:22" x14ac:dyDescent="0.2">
      <c r="A242" s="20" t="s">
        <v>330</v>
      </c>
      <c r="B242" s="20">
        <v>3073</v>
      </c>
      <c r="C242" s="21" t="s">
        <v>1</v>
      </c>
      <c r="D242" s="21" t="s">
        <v>2</v>
      </c>
      <c r="E242" s="21" t="s">
        <v>90</v>
      </c>
      <c r="F242" s="21" t="s">
        <v>94</v>
      </c>
      <c r="G242" s="21" t="s">
        <v>1778</v>
      </c>
      <c r="H242" s="22" t="str" cm="1">
        <f t="array" ref="H242">Reverse2_6(O242)</f>
        <v>00-010201</v>
      </c>
      <c r="I242" s="45" cm="1">
        <f t="array" ref="I242">HEX2DEC(Reverse(P242))</f>
        <v>93631153</v>
      </c>
      <c r="J242" s="45" cm="1">
        <f t="array" ref="J242">IF(Q242&lt;&gt;0, HEX2DEC(Reverse(Q242))-$I242,"")</f>
        <v>17</v>
      </c>
      <c r="K242" s="45" cm="1">
        <f t="array" ref="K242">IF(R242&lt;&gt;0, HEX2DEC(Reverse(R242))-$I242,"")</f>
        <v>96</v>
      </c>
      <c r="L242" s="45" t="str" cm="1">
        <f t="array" ref="L242">IF(S242&lt;&gt;0, HEX2DEC(Reverse(S242))-$I242,"")</f>
        <v/>
      </c>
      <c r="M242" s="45" cm="1">
        <f t="array" ref="M242">IF(T242&lt;&gt;0, HEX2DEC(Reverse(T242))-$I242,"")</f>
        <v>97</v>
      </c>
      <c r="O242" s="3">
        <v>1020100</v>
      </c>
      <c r="P242" s="3" t="s">
        <v>114</v>
      </c>
      <c r="Q242" s="3" t="s">
        <v>146</v>
      </c>
      <c r="R242" s="3" t="s">
        <v>1114</v>
      </c>
      <c r="S242" s="3">
        <v>0</v>
      </c>
      <c r="T242" s="3" t="s">
        <v>1117</v>
      </c>
      <c r="U242" s="3"/>
      <c r="V242" s="4"/>
    </row>
    <row r="243" spans="1:22" x14ac:dyDescent="0.2">
      <c r="A243" s="20" t="s">
        <v>331</v>
      </c>
      <c r="B243" s="20">
        <v>3074</v>
      </c>
      <c r="C243" s="21" t="s">
        <v>1</v>
      </c>
      <c r="D243" s="21" t="s">
        <v>2</v>
      </c>
      <c r="E243" s="21" t="s">
        <v>90</v>
      </c>
      <c r="F243" s="21" t="s">
        <v>94</v>
      </c>
      <c r="G243" s="21" t="s">
        <v>1778</v>
      </c>
      <c r="H243" s="22" t="str" cm="1">
        <f t="array" ref="H243">Reverse2_6(O243)</f>
        <v>00-010201</v>
      </c>
      <c r="I243" s="45" cm="1">
        <f t="array" ref="I243">HEX2DEC(Reverse(P243))</f>
        <v>93631153</v>
      </c>
      <c r="J243" s="45" cm="1">
        <f t="array" ref="J243">IF(Q243&lt;&gt;0, HEX2DEC(Reverse(Q243))-$I243,"")</f>
        <v>17</v>
      </c>
      <c r="K243" s="45" cm="1">
        <f t="array" ref="K243">IF(R243&lt;&gt;0, HEX2DEC(Reverse(R243))-$I243,"")</f>
        <v>97</v>
      </c>
      <c r="L243" s="45" t="str" cm="1">
        <f t="array" ref="L243">IF(S243&lt;&gt;0, HEX2DEC(Reverse(S243))-$I243,"")</f>
        <v/>
      </c>
      <c r="M243" s="45" cm="1">
        <f t="array" ref="M243">IF(T243&lt;&gt;0, HEX2DEC(Reverse(T243))-$I243,"")</f>
        <v>98</v>
      </c>
      <c r="O243" s="3">
        <v>1020100</v>
      </c>
      <c r="P243" s="3" t="s">
        <v>114</v>
      </c>
      <c r="Q243" s="3" t="s">
        <v>146</v>
      </c>
      <c r="R243" s="3" t="s">
        <v>1117</v>
      </c>
      <c r="S243" s="3">
        <v>0</v>
      </c>
      <c r="T243" s="3" t="s">
        <v>1120</v>
      </c>
      <c r="U243" s="3"/>
      <c r="V243" s="4"/>
    </row>
    <row r="244" spans="1:22" x14ac:dyDescent="0.2">
      <c r="A244" s="20" t="s">
        <v>332</v>
      </c>
      <c r="B244" s="20">
        <v>3075</v>
      </c>
      <c r="C244" s="21" t="s">
        <v>1</v>
      </c>
      <c r="D244" s="21" t="s">
        <v>2</v>
      </c>
      <c r="E244" s="21" t="s">
        <v>90</v>
      </c>
      <c r="F244" s="21" t="s">
        <v>94</v>
      </c>
      <c r="G244" s="21" t="s">
        <v>1778</v>
      </c>
      <c r="H244" s="22" t="str" cm="1">
        <f t="array" ref="H244">Reverse2_6(O244)</f>
        <v>00-010201</v>
      </c>
      <c r="I244" s="45" cm="1">
        <f t="array" ref="I244">HEX2DEC(Reverse(P244))</f>
        <v>93631153</v>
      </c>
      <c r="J244" s="45" cm="1">
        <f t="array" ref="J244">IF(Q244&lt;&gt;0, HEX2DEC(Reverse(Q244))-$I244,"")</f>
        <v>17</v>
      </c>
      <c r="K244" s="45" cm="1">
        <f t="array" ref="K244">IF(R244&lt;&gt;0, HEX2DEC(Reverse(R244))-$I244,"")</f>
        <v>98</v>
      </c>
      <c r="L244" s="45" t="str" cm="1">
        <f t="array" ref="L244">IF(S244&lt;&gt;0, HEX2DEC(Reverse(S244))-$I244,"")</f>
        <v/>
      </c>
      <c r="M244" s="45" cm="1">
        <f t="array" ref="M244">IF(T244&lt;&gt;0, HEX2DEC(Reverse(T244))-$I244,"")</f>
        <v>99</v>
      </c>
      <c r="O244" s="3">
        <v>1020100</v>
      </c>
      <c r="P244" s="3" t="s">
        <v>114</v>
      </c>
      <c r="Q244" s="3" t="s">
        <v>146</v>
      </c>
      <c r="R244" s="3" t="s">
        <v>1120</v>
      </c>
      <c r="S244" s="3">
        <v>0</v>
      </c>
      <c r="T244" s="3" t="s">
        <v>1123</v>
      </c>
      <c r="U244" s="3"/>
      <c r="V244" s="4"/>
    </row>
    <row r="245" spans="1:22" x14ac:dyDescent="0.2">
      <c r="A245" s="20" t="s">
        <v>333</v>
      </c>
      <c r="B245" s="20">
        <v>3076</v>
      </c>
      <c r="C245" s="21" t="s">
        <v>1</v>
      </c>
      <c r="D245" s="21" t="s">
        <v>2</v>
      </c>
      <c r="E245" s="21" t="s">
        <v>90</v>
      </c>
      <c r="F245" s="21" t="s">
        <v>94</v>
      </c>
      <c r="G245" s="21" t="s">
        <v>1778</v>
      </c>
      <c r="H245" s="22" t="str" cm="1">
        <f t="array" ref="H245">Reverse2_6(O245)</f>
        <v>00-010201</v>
      </c>
      <c r="I245" s="45" cm="1">
        <f t="array" ref="I245">HEX2DEC(Reverse(P245))</f>
        <v>93631153</v>
      </c>
      <c r="J245" s="45" cm="1">
        <f t="array" ref="J245">IF(Q245&lt;&gt;0, HEX2DEC(Reverse(Q245))-$I245,"")</f>
        <v>17</v>
      </c>
      <c r="K245" s="45" cm="1">
        <f t="array" ref="K245">IF(R245&lt;&gt;0, HEX2DEC(Reverse(R245))-$I245,"")</f>
        <v>99</v>
      </c>
      <c r="L245" s="45" t="str" cm="1">
        <f t="array" ref="L245">IF(S245&lt;&gt;0, HEX2DEC(Reverse(S245))-$I245,"")</f>
        <v/>
      </c>
      <c r="M245" s="45" cm="1">
        <f t="array" ref="M245">IF(T245&lt;&gt;0, HEX2DEC(Reverse(T245))-$I245,"")</f>
        <v>100</v>
      </c>
      <c r="O245" s="3">
        <v>1020100</v>
      </c>
      <c r="P245" s="3" t="s">
        <v>114</v>
      </c>
      <c r="Q245" s="3" t="s">
        <v>146</v>
      </c>
      <c r="R245" s="3" t="s">
        <v>1123</v>
      </c>
      <c r="S245" s="3">
        <v>0</v>
      </c>
      <c r="T245" s="3" t="s">
        <v>1126</v>
      </c>
      <c r="U245" s="3"/>
      <c r="V245" s="4"/>
    </row>
    <row r="246" spans="1:22" x14ac:dyDescent="0.2">
      <c r="A246" s="20" t="s">
        <v>334</v>
      </c>
      <c r="B246" s="20">
        <v>3077</v>
      </c>
      <c r="C246" s="21" t="s">
        <v>1</v>
      </c>
      <c r="D246" s="21" t="s">
        <v>2</v>
      </c>
      <c r="E246" s="21" t="s">
        <v>90</v>
      </c>
      <c r="F246" s="21" t="s">
        <v>94</v>
      </c>
      <c r="G246" s="21" t="s">
        <v>1778</v>
      </c>
      <c r="H246" s="22" t="str" cm="1">
        <f t="array" ref="H246">Reverse2_6(O246)</f>
        <v>00-010201</v>
      </c>
      <c r="I246" s="45" cm="1">
        <f t="array" ref="I246">HEX2DEC(Reverse(P246))</f>
        <v>93631153</v>
      </c>
      <c r="J246" s="45" cm="1">
        <f t="array" ref="J246">IF(Q246&lt;&gt;0, HEX2DEC(Reverse(Q246))-$I246,"")</f>
        <v>17</v>
      </c>
      <c r="K246" s="45" cm="1">
        <f t="array" ref="K246">IF(R246&lt;&gt;0, HEX2DEC(Reverse(R246))-$I246,"")</f>
        <v>100</v>
      </c>
      <c r="L246" s="45" t="str" cm="1">
        <f t="array" ref="L246">IF(S246&lt;&gt;0, HEX2DEC(Reverse(S246))-$I246,"")</f>
        <v/>
      </c>
      <c r="M246" s="45" cm="1">
        <f t="array" ref="M246">IF(T246&lt;&gt;0, HEX2DEC(Reverse(T246))-$I246,"")</f>
        <v>101</v>
      </c>
      <c r="O246" s="3">
        <v>1020100</v>
      </c>
      <c r="P246" s="3" t="s">
        <v>114</v>
      </c>
      <c r="Q246" s="3" t="s">
        <v>146</v>
      </c>
      <c r="R246" s="3" t="s">
        <v>1126</v>
      </c>
      <c r="S246" s="3">
        <v>0</v>
      </c>
      <c r="T246" s="3" t="s">
        <v>1129</v>
      </c>
      <c r="U246" s="3"/>
      <c r="V246" s="4"/>
    </row>
    <row r="247" spans="1:22" x14ac:dyDescent="0.2">
      <c r="A247" s="16" t="s">
        <v>335</v>
      </c>
      <c r="B247" s="16">
        <v>3078</v>
      </c>
      <c r="C247" s="15" t="s">
        <v>2</v>
      </c>
      <c r="D247" s="15" t="s">
        <v>1</v>
      </c>
      <c r="E247" s="15" t="s">
        <v>92</v>
      </c>
      <c r="F247" s="15" t="s">
        <v>96</v>
      </c>
      <c r="G247" s="15"/>
      <c r="H247" s="17" t="str" cm="1">
        <f t="array" ref="H247">Reverse2_6(O247)</f>
        <v>00-010101</v>
      </c>
      <c r="I247" s="18" cm="1">
        <f t="array" ref="I247">HEX2DEC(Reverse(P247))</f>
        <v>93631153</v>
      </c>
      <c r="J247" s="18" cm="1">
        <f t="array" ref="J247">IF(Q247&lt;&gt;0, HEX2DEC(Reverse(Q247))-$I247,"")</f>
        <v>101</v>
      </c>
      <c r="K247" s="18" cm="1">
        <f t="array" ref="K247">IF(R247&lt;&gt;0, HEX2DEC(Reverse(R247))-$I247,"")</f>
        <v>17</v>
      </c>
      <c r="L247" s="18" cm="1">
        <f t="array" ref="L247">IF(S247&lt;&gt;0, HEX2DEC(Reverse(S247))-$I247,"")</f>
        <v>102</v>
      </c>
      <c r="M247" s="18" cm="1">
        <f t="array" ref="M247">IF(T247&lt;&gt;0, HEX2DEC(Reverse(T247))-$I247,"")</f>
        <v>18</v>
      </c>
      <c r="O247" s="3">
        <v>1010100</v>
      </c>
      <c r="P247" s="3" t="s">
        <v>114</v>
      </c>
      <c r="Q247" s="3" t="s">
        <v>1129</v>
      </c>
      <c r="R247" s="19" t="s">
        <v>146</v>
      </c>
      <c r="S247" s="3" t="s">
        <v>1132</v>
      </c>
      <c r="T247" s="3" t="s">
        <v>148</v>
      </c>
      <c r="U247" s="3" t="s">
        <v>1133</v>
      </c>
      <c r="V247" s="4" t="s">
        <v>1134</v>
      </c>
    </row>
    <row r="248" spans="1:22" x14ac:dyDescent="0.2">
      <c r="A248" s="16" t="s">
        <v>336</v>
      </c>
      <c r="B248" s="16">
        <v>3079</v>
      </c>
      <c r="C248" s="15" t="s">
        <v>2</v>
      </c>
      <c r="D248" s="15" t="s">
        <v>1</v>
      </c>
      <c r="E248" s="15" t="s">
        <v>92</v>
      </c>
      <c r="F248" s="15" t="s">
        <v>96</v>
      </c>
      <c r="G248" s="15"/>
      <c r="H248" s="17" t="str" cm="1">
        <f t="array" ref="H248">Reverse2_6(O248)</f>
        <v>00-010101</v>
      </c>
      <c r="I248" s="18" cm="1">
        <f t="array" ref="I248">HEX2DEC(Reverse(P248))</f>
        <v>93631153</v>
      </c>
      <c r="J248" s="18" cm="1">
        <f t="array" ref="J248">IF(Q248&lt;&gt;0, HEX2DEC(Reverse(Q248))-$I248,"")</f>
        <v>102</v>
      </c>
      <c r="K248" s="18" cm="1">
        <f t="array" ref="K248">IF(R248&lt;&gt;0, HEX2DEC(Reverse(R248))-$I248,"")</f>
        <v>17</v>
      </c>
      <c r="L248" s="18" cm="1">
        <f t="array" ref="L248">IF(S248&lt;&gt;0, HEX2DEC(Reverse(S248))-$I248,"")</f>
        <v>103</v>
      </c>
      <c r="M248" s="18" cm="1">
        <f t="array" ref="M248">IF(T248&lt;&gt;0, HEX2DEC(Reverse(T248))-$I248,"")</f>
        <v>18</v>
      </c>
      <c r="O248" s="3">
        <v>1010100</v>
      </c>
      <c r="P248" s="3" t="s">
        <v>114</v>
      </c>
      <c r="Q248" s="3" t="s">
        <v>1132</v>
      </c>
      <c r="R248" s="19" t="s">
        <v>146</v>
      </c>
      <c r="S248" s="3" t="s">
        <v>1135</v>
      </c>
      <c r="T248" s="3" t="s">
        <v>148</v>
      </c>
      <c r="U248" s="3" t="s">
        <v>1136</v>
      </c>
      <c r="V248" s="4" t="s">
        <v>1137</v>
      </c>
    </row>
    <row r="249" spans="1:22" x14ac:dyDescent="0.2">
      <c r="A249" s="16" t="s">
        <v>337</v>
      </c>
      <c r="B249" s="16">
        <v>3080</v>
      </c>
      <c r="C249" s="15" t="s">
        <v>2</v>
      </c>
      <c r="D249" s="15" t="s">
        <v>1</v>
      </c>
      <c r="E249" s="15" t="s">
        <v>92</v>
      </c>
      <c r="F249" s="15" t="s">
        <v>96</v>
      </c>
      <c r="G249" s="15"/>
      <c r="H249" s="17" t="str" cm="1">
        <f t="array" ref="H249">Reverse2_6(O249)</f>
        <v>00-010101</v>
      </c>
      <c r="I249" s="18" cm="1">
        <f t="array" ref="I249">HEX2DEC(Reverse(P249))</f>
        <v>93631153</v>
      </c>
      <c r="J249" s="18" cm="1">
        <f t="array" ref="J249">IF(Q249&lt;&gt;0, HEX2DEC(Reverse(Q249))-$I249,"")</f>
        <v>103</v>
      </c>
      <c r="K249" s="18" cm="1">
        <f t="array" ref="K249">IF(R249&lt;&gt;0, HEX2DEC(Reverse(R249))-$I249,"")</f>
        <v>17</v>
      </c>
      <c r="L249" s="18" cm="1">
        <f t="array" ref="L249">IF(S249&lt;&gt;0, HEX2DEC(Reverse(S249))-$I249,"")</f>
        <v>104</v>
      </c>
      <c r="M249" s="18" cm="1">
        <f t="array" ref="M249">IF(T249&lt;&gt;0, HEX2DEC(Reverse(T249))-$I249,"")</f>
        <v>18</v>
      </c>
      <c r="O249" s="3">
        <v>1010100</v>
      </c>
      <c r="P249" s="3" t="s">
        <v>114</v>
      </c>
      <c r="Q249" s="3" t="s">
        <v>1135</v>
      </c>
      <c r="R249" s="19" t="s">
        <v>146</v>
      </c>
      <c r="S249" s="3" t="s">
        <v>1138</v>
      </c>
      <c r="T249" s="3" t="s">
        <v>148</v>
      </c>
      <c r="U249" s="3" t="s">
        <v>1139</v>
      </c>
      <c r="V249" s="4" t="s">
        <v>1140</v>
      </c>
    </row>
    <row r="250" spans="1:22" x14ac:dyDescent="0.2">
      <c r="A250" s="20" t="s">
        <v>338</v>
      </c>
      <c r="B250" s="20">
        <v>3081</v>
      </c>
      <c r="C250" s="21" t="s">
        <v>1</v>
      </c>
      <c r="D250" s="21" t="s">
        <v>2</v>
      </c>
      <c r="E250" s="21" t="s">
        <v>90</v>
      </c>
      <c r="F250" s="21" t="s">
        <v>94</v>
      </c>
      <c r="G250" s="21" t="s">
        <v>1778</v>
      </c>
      <c r="H250" s="22" t="str" cm="1">
        <f t="array" ref="H250">Reverse2_6(O250)</f>
        <v>00-010201</v>
      </c>
      <c r="I250" s="45" cm="1">
        <f t="array" ref="I250">HEX2DEC(Reverse(P250))</f>
        <v>93631153</v>
      </c>
      <c r="J250" s="45" cm="1">
        <f t="array" ref="J250">IF(Q250&lt;&gt;0, HEX2DEC(Reverse(Q250))-$I250,"")</f>
        <v>17</v>
      </c>
      <c r="K250" s="45" cm="1">
        <f t="array" ref="K250">IF(R250&lt;&gt;0, HEX2DEC(Reverse(R250))-$I250,"")</f>
        <v>101</v>
      </c>
      <c r="L250" s="45" t="str" cm="1">
        <f t="array" ref="L250">IF(S250&lt;&gt;0, HEX2DEC(Reverse(S250))-$I250,"")</f>
        <v/>
      </c>
      <c r="M250" s="45" cm="1">
        <f t="array" ref="M250">IF(T250&lt;&gt;0, HEX2DEC(Reverse(T250))-$I250,"")</f>
        <v>102</v>
      </c>
      <c r="O250" s="3">
        <v>1020100</v>
      </c>
      <c r="P250" s="3" t="s">
        <v>114</v>
      </c>
      <c r="Q250" s="3" t="s">
        <v>146</v>
      </c>
      <c r="R250" s="3" t="s">
        <v>1129</v>
      </c>
      <c r="S250" s="3">
        <v>0</v>
      </c>
      <c r="T250" s="3" t="s">
        <v>1132</v>
      </c>
      <c r="U250" s="3"/>
      <c r="V250" s="4"/>
    </row>
    <row r="251" spans="1:22" x14ac:dyDescent="0.2">
      <c r="A251" s="20" t="s">
        <v>339</v>
      </c>
      <c r="B251" s="20">
        <v>3082</v>
      </c>
      <c r="C251" s="21" t="s">
        <v>1</v>
      </c>
      <c r="D251" s="21" t="s">
        <v>2</v>
      </c>
      <c r="E251" s="21" t="s">
        <v>90</v>
      </c>
      <c r="F251" s="21" t="s">
        <v>94</v>
      </c>
      <c r="G251" s="21" t="s">
        <v>1778</v>
      </c>
      <c r="H251" s="22" t="str" cm="1">
        <f t="array" ref="H251">Reverse2_6(O251)</f>
        <v>00-010201</v>
      </c>
      <c r="I251" s="45" cm="1">
        <f t="array" ref="I251">HEX2DEC(Reverse(P251))</f>
        <v>93631153</v>
      </c>
      <c r="J251" s="45" cm="1">
        <f t="array" ref="J251">IF(Q251&lt;&gt;0, HEX2DEC(Reverse(Q251))-$I251,"")</f>
        <v>17</v>
      </c>
      <c r="K251" s="45" cm="1">
        <f t="array" ref="K251">IF(R251&lt;&gt;0, HEX2DEC(Reverse(R251))-$I251,"")</f>
        <v>102</v>
      </c>
      <c r="L251" s="45" t="str" cm="1">
        <f t="array" ref="L251">IF(S251&lt;&gt;0, HEX2DEC(Reverse(S251))-$I251,"")</f>
        <v/>
      </c>
      <c r="M251" s="45" cm="1">
        <f t="array" ref="M251">IF(T251&lt;&gt;0, HEX2DEC(Reverse(T251))-$I251,"")</f>
        <v>103</v>
      </c>
      <c r="O251" s="3">
        <v>1020100</v>
      </c>
      <c r="P251" s="3" t="s">
        <v>114</v>
      </c>
      <c r="Q251" s="3" t="s">
        <v>146</v>
      </c>
      <c r="R251" s="3" t="s">
        <v>1132</v>
      </c>
      <c r="S251" s="3">
        <v>0</v>
      </c>
      <c r="T251" s="3" t="s">
        <v>1135</v>
      </c>
      <c r="U251" s="3"/>
      <c r="V251" s="4"/>
    </row>
    <row r="252" spans="1:22" x14ac:dyDescent="0.2">
      <c r="A252" s="20" t="s">
        <v>340</v>
      </c>
      <c r="B252" s="20">
        <v>3083</v>
      </c>
      <c r="C252" s="21" t="s">
        <v>1</v>
      </c>
      <c r="D252" s="21" t="s">
        <v>2</v>
      </c>
      <c r="E252" s="21" t="s">
        <v>90</v>
      </c>
      <c r="F252" s="21" t="s">
        <v>94</v>
      </c>
      <c r="G252" s="21" t="s">
        <v>1778</v>
      </c>
      <c r="H252" s="22" t="str" cm="1">
        <f t="array" ref="H252">Reverse2_6(O252)</f>
        <v>00-010201</v>
      </c>
      <c r="I252" s="45" cm="1">
        <f t="array" ref="I252">HEX2DEC(Reverse(P252))</f>
        <v>93631153</v>
      </c>
      <c r="J252" s="45" cm="1">
        <f t="array" ref="J252">IF(Q252&lt;&gt;0, HEX2DEC(Reverse(Q252))-$I252,"")</f>
        <v>17</v>
      </c>
      <c r="K252" s="45" cm="1">
        <f t="array" ref="K252">IF(R252&lt;&gt;0, HEX2DEC(Reverse(R252))-$I252,"")</f>
        <v>103</v>
      </c>
      <c r="L252" s="45" t="str" cm="1">
        <f t="array" ref="L252">IF(S252&lt;&gt;0, HEX2DEC(Reverse(S252))-$I252,"")</f>
        <v/>
      </c>
      <c r="M252" s="45" cm="1">
        <f t="array" ref="M252">IF(T252&lt;&gt;0, HEX2DEC(Reverse(T252))-$I252,"")</f>
        <v>104</v>
      </c>
      <c r="O252" s="3">
        <v>1020100</v>
      </c>
      <c r="P252" s="3" t="s">
        <v>114</v>
      </c>
      <c r="Q252" s="3" t="s">
        <v>146</v>
      </c>
      <c r="R252" s="3" t="s">
        <v>1135</v>
      </c>
      <c r="S252" s="3">
        <v>0</v>
      </c>
      <c r="T252" s="3" t="s">
        <v>1138</v>
      </c>
      <c r="U252" s="3"/>
      <c r="V252" s="4"/>
    </row>
    <row r="253" spans="1:22" x14ac:dyDescent="0.2">
      <c r="A253" s="16" t="s">
        <v>341</v>
      </c>
      <c r="B253" s="16">
        <v>3084</v>
      </c>
      <c r="C253" s="15" t="s">
        <v>2</v>
      </c>
      <c r="D253" s="15" t="s">
        <v>1</v>
      </c>
      <c r="E253" s="15" t="s">
        <v>92</v>
      </c>
      <c r="F253" s="15" t="s">
        <v>96</v>
      </c>
      <c r="G253" s="15"/>
      <c r="H253" s="17" t="str" cm="1">
        <f t="array" ref="H253">Reverse2_6(O253)</f>
        <v>00-010101</v>
      </c>
      <c r="I253" s="18" cm="1">
        <f t="array" ref="I253">HEX2DEC(Reverse(P253))</f>
        <v>93631153</v>
      </c>
      <c r="J253" s="18" cm="1">
        <f t="array" ref="J253">IF(Q253&lt;&gt;0, HEX2DEC(Reverse(Q253))-$I253,"")</f>
        <v>104</v>
      </c>
      <c r="K253" s="18" cm="1">
        <f t="array" ref="K253">IF(R253&lt;&gt;0, HEX2DEC(Reverse(R253))-$I253,"")</f>
        <v>17</v>
      </c>
      <c r="L253" s="18" cm="1">
        <f t="array" ref="L253">IF(S253&lt;&gt;0, HEX2DEC(Reverse(S253))-$I253,"")</f>
        <v>105</v>
      </c>
      <c r="M253" s="18" cm="1">
        <f t="array" ref="M253">IF(T253&lt;&gt;0, HEX2DEC(Reverse(T253))-$I253,"")</f>
        <v>18</v>
      </c>
      <c r="O253" s="3">
        <v>1010100</v>
      </c>
      <c r="P253" s="3" t="s">
        <v>114</v>
      </c>
      <c r="Q253" s="3" t="s">
        <v>1138</v>
      </c>
      <c r="R253" s="19" t="s">
        <v>146</v>
      </c>
      <c r="S253" s="3" t="s">
        <v>1141</v>
      </c>
      <c r="T253" s="3" t="s">
        <v>148</v>
      </c>
      <c r="U253" s="3" t="s">
        <v>1142</v>
      </c>
      <c r="V253" s="4" t="s">
        <v>1143</v>
      </c>
    </row>
    <row r="254" spans="1:22" x14ac:dyDescent="0.2">
      <c r="A254" s="16" t="s">
        <v>342</v>
      </c>
      <c r="B254" s="16">
        <v>3085</v>
      </c>
      <c r="C254" s="15" t="s">
        <v>2</v>
      </c>
      <c r="D254" s="15" t="s">
        <v>1</v>
      </c>
      <c r="E254" s="15" t="s">
        <v>92</v>
      </c>
      <c r="F254" s="15" t="s">
        <v>96</v>
      </c>
      <c r="G254" s="15"/>
      <c r="H254" s="17" t="str" cm="1">
        <f t="array" ref="H254">Reverse2_6(O254)</f>
        <v>00-010101</v>
      </c>
      <c r="I254" s="18" cm="1">
        <f t="array" ref="I254">HEX2DEC(Reverse(P254))</f>
        <v>93631153</v>
      </c>
      <c r="J254" s="18" cm="1">
        <f t="array" ref="J254">IF(Q254&lt;&gt;0, HEX2DEC(Reverse(Q254))-$I254,"")</f>
        <v>105</v>
      </c>
      <c r="K254" s="18" cm="1">
        <f t="array" ref="K254">IF(R254&lt;&gt;0, HEX2DEC(Reverse(R254))-$I254,"")</f>
        <v>17</v>
      </c>
      <c r="L254" s="18" cm="1">
        <f t="array" ref="L254">IF(S254&lt;&gt;0, HEX2DEC(Reverse(S254))-$I254,"")</f>
        <v>106</v>
      </c>
      <c r="M254" s="18" cm="1">
        <f t="array" ref="M254">IF(T254&lt;&gt;0, HEX2DEC(Reverse(T254))-$I254,"")</f>
        <v>18</v>
      </c>
      <c r="O254" s="3">
        <v>1010100</v>
      </c>
      <c r="P254" s="3" t="s">
        <v>114</v>
      </c>
      <c r="Q254" s="3" t="s">
        <v>1141</v>
      </c>
      <c r="R254" s="19" t="s">
        <v>146</v>
      </c>
      <c r="S254" s="3" t="s">
        <v>1144</v>
      </c>
      <c r="T254" s="3" t="s">
        <v>148</v>
      </c>
      <c r="U254" s="3" t="s">
        <v>1145</v>
      </c>
      <c r="V254" s="4" t="s">
        <v>1146</v>
      </c>
    </row>
    <row r="255" spans="1:22" x14ac:dyDescent="0.2">
      <c r="A255" s="16" t="s">
        <v>343</v>
      </c>
      <c r="B255" s="16">
        <v>3086</v>
      </c>
      <c r="C255" s="15" t="s">
        <v>2</v>
      </c>
      <c r="D255" s="15" t="s">
        <v>1</v>
      </c>
      <c r="E255" s="15" t="s">
        <v>92</v>
      </c>
      <c r="F255" s="15" t="s">
        <v>96</v>
      </c>
      <c r="G255" s="15"/>
      <c r="H255" s="17" t="str" cm="1">
        <f t="array" ref="H255">Reverse2_6(O255)</f>
        <v>00-010101</v>
      </c>
      <c r="I255" s="18" cm="1">
        <f t="array" ref="I255">HEX2DEC(Reverse(P255))</f>
        <v>93631153</v>
      </c>
      <c r="J255" s="18" cm="1">
        <f t="array" ref="J255">IF(Q255&lt;&gt;0, HEX2DEC(Reverse(Q255))-$I255,"")</f>
        <v>106</v>
      </c>
      <c r="K255" s="18" cm="1">
        <f t="array" ref="K255">IF(R255&lt;&gt;0, HEX2DEC(Reverse(R255))-$I255,"")</f>
        <v>17</v>
      </c>
      <c r="L255" s="18" cm="1">
        <f t="array" ref="L255">IF(S255&lt;&gt;0, HEX2DEC(Reverse(S255))-$I255,"")</f>
        <v>107</v>
      </c>
      <c r="M255" s="18" cm="1">
        <f t="array" ref="M255">IF(T255&lt;&gt;0, HEX2DEC(Reverse(T255))-$I255,"")</f>
        <v>18</v>
      </c>
      <c r="O255" s="3">
        <v>1010100</v>
      </c>
      <c r="P255" s="3" t="s">
        <v>114</v>
      </c>
      <c r="Q255" s="3" t="s">
        <v>1144</v>
      </c>
      <c r="R255" s="19" t="s">
        <v>146</v>
      </c>
      <c r="S255" s="3" t="s">
        <v>1147</v>
      </c>
      <c r="T255" s="3" t="s">
        <v>148</v>
      </c>
      <c r="U255" s="3">
        <v>75652682</v>
      </c>
      <c r="V255" s="4" t="s">
        <v>1148</v>
      </c>
    </row>
    <row r="256" spans="1:22" x14ac:dyDescent="0.2">
      <c r="A256" s="16" t="s">
        <v>344</v>
      </c>
      <c r="B256" s="16">
        <v>3087</v>
      </c>
      <c r="C256" s="15" t="s">
        <v>2</v>
      </c>
      <c r="D256" s="15" t="s">
        <v>1</v>
      </c>
      <c r="E256" s="15" t="s">
        <v>92</v>
      </c>
      <c r="F256" s="15" t="s">
        <v>96</v>
      </c>
      <c r="G256" s="15"/>
      <c r="H256" s="17" t="str" cm="1">
        <f t="array" ref="H256">Reverse2_6(O256)</f>
        <v>00-010101</v>
      </c>
      <c r="I256" s="18" cm="1">
        <f t="array" ref="I256">HEX2DEC(Reverse(P256))</f>
        <v>93631153</v>
      </c>
      <c r="J256" s="18" cm="1">
        <f t="array" ref="J256">IF(Q256&lt;&gt;0, HEX2DEC(Reverse(Q256))-$I256,"")</f>
        <v>107</v>
      </c>
      <c r="K256" s="18" cm="1">
        <f t="array" ref="K256">IF(R256&lt;&gt;0, HEX2DEC(Reverse(R256))-$I256,"")</f>
        <v>17</v>
      </c>
      <c r="L256" s="18" cm="1">
        <f t="array" ref="L256">IF(S256&lt;&gt;0, HEX2DEC(Reverse(S256))-$I256,"")</f>
        <v>108</v>
      </c>
      <c r="M256" s="18" cm="1">
        <f t="array" ref="M256">IF(T256&lt;&gt;0, HEX2DEC(Reverse(T256))-$I256,"")</f>
        <v>18</v>
      </c>
      <c r="O256" s="3">
        <v>1010100</v>
      </c>
      <c r="P256" s="3" t="s">
        <v>114</v>
      </c>
      <c r="Q256" s="3" t="s">
        <v>1147</v>
      </c>
      <c r="R256" s="19" t="s">
        <v>146</v>
      </c>
      <c r="S256" s="3" t="s">
        <v>1149</v>
      </c>
      <c r="T256" s="3" t="s">
        <v>148</v>
      </c>
      <c r="U256" s="3" t="s">
        <v>1150</v>
      </c>
      <c r="V256" s="4" t="s">
        <v>1151</v>
      </c>
    </row>
    <row r="257" spans="1:22" x14ac:dyDescent="0.2">
      <c r="A257" s="16" t="s">
        <v>345</v>
      </c>
      <c r="B257" s="16">
        <v>3088</v>
      </c>
      <c r="C257" s="15" t="s">
        <v>2</v>
      </c>
      <c r="D257" s="15" t="s">
        <v>1</v>
      </c>
      <c r="E257" s="15" t="s">
        <v>92</v>
      </c>
      <c r="F257" s="15" t="s">
        <v>96</v>
      </c>
      <c r="G257" s="15"/>
      <c r="H257" s="17" t="str" cm="1">
        <f t="array" ref="H257">Reverse2_6(O257)</f>
        <v>00-010101</v>
      </c>
      <c r="I257" s="18" cm="1">
        <f t="array" ref="I257">HEX2DEC(Reverse(P257))</f>
        <v>93631153</v>
      </c>
      <c r="J257" s="18" cm="1">
        <f t="array" ref="J257">IF(Q257&lt;&gt;0, HEX2DEC(Reverse(Q257))-$I257,"")</f>
        <v>108</v>
      </c>
      <c r="K257" s="18" cm="1">
        <f t="array" ref="K257">IF(R257&lt;&gt;0, HEX2DEC(Reverse(R257))-$I257,"")</f>
        <v>17</v>
      </c>
      <c r="L257" s="18" cm="1">
        <f t="array" ref="L257">IF(S257&lt;&gt;0, HEX2DEC(Reverse(S257))-$I257,"")</f>
        <v>109</v>
      </c>
      <c r="M257" s="18" cm="1">
        <f t="array" ref="M257">IF(T257&lt;&gt;0, HEX2DEC(Reverse(T257))-$I257,"")</f>
        <v>18</v>
      </c>
      <c r="O257" s="3">
        <v>1010100</v>
      </c>
      <c r="P257" s="3" t="s">
        <v>114</v>
      </c>
      <c r="Q257" s="3" t="s">
        <v>1149</v>
      </c>
      <c r="R257" s="19" t="s">
        <v>146</v>
      </c>
      <c r="S257" s="3" t="s">
        <v>1152</v>
      </c>
      <c r="T257" s="3" t="s">
        <v>148</v>
      </c>
      <c r="U257" s="3" t="s">
        <v>1153</v>
      </c>
      <c r="V257" s="4" t="s">
        <v>1154</v>
      </c>
    </row>
    <row r="258" spans="1:22" x14ac:dyDescent="0.2">
      <c r="A258" s="20" t="s">
        <v>346</v>
      </c>
      <c r="B258" s="20">
        <v>3089</v>
      </c>
      <c r="C258" s="21" t="s">
        <v>1</v>
      </c>
      <c r="D258" s="21" t="s">
        <v>2</v>
      </c>
      <c r="E258" s="21" t="s">
        <v>90</v>
      </c>
      <c r="F258" s="21" t="s">
        <v>94</v>
      </c>
      <c r="G258" s="21" t="s">
        <v>1778</v>
      </c>
      <c r="H258" s="22" t="str" cm="1">
        <f t="array" ref="H258">Reverse2_6(O258)</f>
        <v>00-010201</v>
      </c>
      <c r="I258" s="45" cm="1">
        <f t="array" ref="I258">HEX2DEC(Reverse(P258))</f>
        <v>93631153</v>
      </c>
      <c r="J258" s="45" cm="1">
        <f t="array" ref="J258">IF(Q258&lt;&gt;0, HEX2DEC(Reverse(Q258))-$I258,"")</f>
        <v>17</v>
      </c>
      <c r="K258" s="45" cm="1">
        <f t="array" ref="K258">IF(R258&lt;&gt;0, HEX2DEC(Reverse(R258))-$I258,"")</f>
        <v>104</v>
      </c>
      <c r="L258" s="45" t="str" cm="1">
        <f t="array" ref="L258">IF(S258&lt;&gt;0, HEX2DEC(Reverse(S258))-$I258,"")</f>
        <v/>
      </c>
      <c r="M258" s="45" cm="1">
        <f t="array" ref="M258">IF(T258&lt;&gt;0, HEX2DEC(Reverse(T258))-$I258,"")</f>
        <v>105</v>
      </c>
      <c r="O258" s="3">
        <v>1020100</v>
      </c>
      <c r="P258" s="3" t="s">
        <v>114</v>
      </c>
      <c r="Q258" s="3" t="s">
        <v>146</v>
      </c>
      <c r="R258" s="3" t="s">
        <v>1138</v>
      </c>
      <c r="S258" s="3">
        <v>0</v>
      </c>
      <c r="T258" s="3" t="s">
        <v>1141</v>
      </c>
      <c r="U258" s="3"/>
      <c r="V258" s="4"/>
    </row>
    <row r="259" spans="1:22" x14ac:dyDescent="0.2">
      <c r="A259" s="20" t="s">
        <v>347</v>
      </c>
      <c r="B259" s="20">
        <v>3090</v>
      </c>
      <c r="C259" s="21" t="s">
        <v>1</v>
      </c>
      <c r="D259" s="21" t="s">
        <v>2</v>
      </c>
      <c r="E259" s="21" t="s">
        <v>90</v>
      </c>
      <c r="F259" s="21" t="s">
        <v>94</v>
      </c>
      <c r="G259" s="21" t="s">
        <v>1778</v>
      </c>
      <c r="H259" s="22" t="str" cm="1">
        <f t="array" ref="H259">Reverse2_6(O259)</f>
        <v>00-010201</v>
      </c>
      <c r="I259" s="45" cm="1">
        <f t="array" ref="I259">HEX2DEC(Reverse(P259))</f>
        <v>93631153</v>
      </c>
      <c r="J259" s="45" cm="1">
        <f t="array" ref="J259">IF(Q259&lt;&gt;0, HEX2DEC(Reverse(Q259))-$I259,"")</f>
        <v>17</v>
      </c>
      <c r="K259" s="45" cm="1">
        <f t="array" ref="K259">IF(R259&lt;&gt;0, HEX2DEC(Reverse(R259))-$I259,"")</f>
        <v>105</v>
      </c>
      <c r="L259" s="45" t="str" cm="1">
        <f t="array" ref="L259">IF(S259&lt;&gt;0, HEX2DEC(Reverse(S259))-$I259,"")</f>
        <v/>
      </c>
      <c r="M259" s="45" cm="1">
        <f t="array" ref="M259">IF(T259&lt;&gt;0, HEX2DEC(Reverse(T259))-$I259,"")</f>
        <v>106</v>
      </c>
      <c r="O259" s="3">
        <v>1020100</v>
      </c>
      <c r="P259" s="3" t="s">
        <v>114</v>
      </c>
      <c r="Q259" s="3" t="s">
        <v>146</v>
      </c>
      <c r="R259" s="3" t="s">
        <v>1141</v>
      </c>
      <c r="S259" s="3">
        <v>0</v>
      </c>
      <c r="T259" s="3" t="s">
        <v>1144</v>
      </c>
      <c r="U259" s="3"/>
      <c r="V259" s="4"/>
    </row>
    <row r="260" spans="1:22" x14ac:dyDescent="0.2">
      <c r="A260" s="20" t="s">
        <v>348</v>
      </c>
      <c r="B260" s="20">
        <v>3091</v>
      </c>
      <c r="C260" s="21" t="s">
        <v>1</v>
      </c>
      <c r="D260" s="21" t="s">
        <v>2</v>
      </c>
      <c r="E260" s="21" t="s">
        <v>90</v>
      </c>
      <c r="F260" s="21" t="s">
        <v>94</v>
      </c>
      <c r="G260" s="21" t="s">
        <v>1778</v>
      </c>
      <c r="H260" s="22" t="str" cm="1">
        <f t="array" ref="H260">Reverse2_6(O260)</f>
        <v>00-010201</v>
      </c>
      <c r="I260" s="45" cm="1">
        <f t="array" ref="I260">HEX2DEC(Reverse(P260))</f>
        <v>93631153</v>
      </c>
      <c r="J260" s="45" cm="1">
        <f t="array" ref="J260">IF(Q260&lt;&gt;0, HEX2DEC(Reverse(Q260))-$I260,"")</f>
        <v>17</v>
      </c>
      <c r="K260" s="45" cm="1">
        <f t="array" ref="K260">IF(R260&lt;&gt;0, HEX2DEC(Reverse(R260))-$I260,"")</f>
        <v>106</v>
      </c>
      <c r="L260" s="45" t="str" cm="1">
        <f t="array" ref="L260">IF(S260&lt;&gt;0, HEX2DEC(Reverse(S260))-$I260,"")</f>
        <v/>
      </c>
      <c r="M260" s="45" cm="1">
        <f t="array" ref="M260">IF(T260&lt;&gt;0, HEX2DEC(Reverse(T260))-$I260,"")</f>
        <v>107</v>
      </c>
      <c r="O260" s="3">
        <v>1020100</v>
      </c>
      <c r="P260" s="3" t="s">
        <v>114</v>
      </c>
      <c r="Q260" s="3" t="s">
        <v>146</v>
      </c>
      <c r="R260" s="3" t="s">
        <v>1144</v>
      </c>
      <c r="S260" s="3">
        <v>0</v>
      </c>
      <c r="T260" s="3" t="s">
        <v>1147</v>
      </c>
      <c r="U260" s="3"/>
      <c r="V260" s="4"/>
    </row>
    <row r="261" spans="1:22" x14ac:dyDescent="0.2">
      <c r="A261" s="20" t="s">
        <v>349</v>
      </c>
      <c r="B261" s="20">
        <v>3092</v>
      </c>
      <c r="C261" s="21" t="s">
        <v>1</v>
      </c>
      <c r="D261" s="21" t="s">
        <v>2</v>
      </c>
      <c r="E261" s="21" t="s">
        <v>90</v>
      </c>
      <c r="F261" s="21" t="s">
        <v>94</v>
      </c>
      <c r="G261" s="21" t="s">
        <v>1778</v>
      </c>
      <c r="H261" s="22" t="str" cm="1">
        <f t="array" ref="H261">Reverse2_6(O261)</f>
        <v>00-010201</v>
      </c>
      <c r="I261" s="45" cm="1">
        <f t="array" ref="I261">HEX2DEC(Reverse(P261))</f>
        <v>93631153</v>
      </c>
      <c r="J261" s="45" cm="1">
        <f t="array" ref="J261">IF(Q261&lt;&gt;0, HEX2DEC(Reverse(Q261))-$I261,"")</f>
        <v>17</v>
      </c>
      <c r="K261" s="45" cm="1">
        <f t="array" ref="K261">IF(R261&lt;&gt;0, HEX2DEC(Reverse(R261))-$I261,"")</f>
        <v>107</v>
      </c>
      <c r="L261" s="45" t="str" cm="1">
        <f t="array" ref="L261">IF(S261&lt;&gt;0, HEX2DEC(Reverse(S261))-$I261,"")</f>
        <v/>
      </c>
      <c r="M261" s="45" cm="1">
        <f t="array" ref="M261">IF(T261&lt;&gt;0, HEX2DEC(Reverse(T261))-$I261,"")</f>
        <v>108</v>
      </c>
      <c r="O261" s="3">
        <v>1020100</v>
      </c>
      <c r="P261" s="3" t="s">
        <v>114</v>
      </c>
      <c r="Q261" s="3" t="s">
        <v>146</v>
      </c>
      <c r="R261" s="3" t="s">
        <v>1147</v>
      </c>
      <c r="S261" s="3">
        <v>0</v>
      </c>
      <c r="T261" s="3" t="s">
        <v>1149</v>
      </c>
      <c r="U261" s="3"/>
      <c r="V261" s="4"/>
    </row>
    <row r="262" spans="1:22" x14ac:dyDescent="0.2">
      <c r="A262" s="20" t="s">
        <v>350</v>
      </c>
      <c r="B262" s="20">
        <v>3093</v>
      </c>
      <c r="C262" s="21" t="s">
        <v>1</v>
      </c>
      <c r="D262" s="21" t="s">
        <v>2</v>
      </c>
      <c r="E262" s="21" t="s">
        <v>90</v>
      </c>
      <c r="F262" s="21" t="s">
        <v>94</v>
      </c>
      <c r="G262" s="21" t="s">
        <v>1778</v>
      </c>
      <c r="H262" s="22" t="str" cm="1">
        <f t="array" ref="H262">Reverse2_6(O262)</f>
        <v>00-010201</v>
      </c>
      <c r="I262" s="45" cm="1">
        <f t="array" ref="I262">HEX2DEC(Reverse(P262))</f>
        <v>93631153</v>
      </c>
      <c r="J262" s="45" cm="1">
        <f t="array" ref="J262">IF(Q262&lt;&gt;0, HEX2DEC(Reverse(Q262))-$I262,"")</f>
        <v>17</v>
      </c>
      <c r="K262" s="45" cm="1">
        <f t="array" ref="K262">IF(R262&lt;&gt;0, HEX2DEC(Reverse(R262))-$I262,"")</f>
        <v>108</v>
      </c>
      <c r="L262" s="45" t="str" cm="1">
        <f t="array" ref="L262">IF(S262&lt;&gt;0, HEX2DEC(Reverse(S262))-$I262,"")</f>
        <v/>
      </c>
      <c r="M262" s="45" cm="1">
        <f t="array" ref="M262">IF(T262&lt;&gt;0, HEX2DEC(Reverse(T262))-$I262,"")</f>
        <v>109</v>
      </c>
      <c r="O262" s="3">
        <v>1020100</v>
      </c>
      <c r="P262" s="3" t="s">
        <v>114</v>
      </c>
      <c r="Q262" s="3" t="s">
        <v>146</v>
      </c>
      <c r="R262" s="3" t="s">
        <v>1149</v>
      </c>
      <c r="S262" s="3">
        <v>0</v>
      </c>
      <c r="T262" s="3" t="s">
        <v>1152</v>
      </c>
      <c r="U262" s="3"/>
      <c r="V262" s="4"/>
    </row>
    <row r="263" spans="1:22" x14ac:dyDescent="0.2">
      <c r="A263" s="16" t="s">
        <v>351</v>
      </c>
      <c r="B263" s="16">
        <v>3094</v>
      </c>
      <c r="C263" s="15" t="s">
        <v>2</v>
      </c>
      <c r="D263" s="15" t="s">
        <v>1</v>
      </c>
      <c r="E263" s="15" t="s">
        <v>92</v>
      </c>
      <c r="F263" s="15" t="s">
        <v>96</v>
      </c>
      <c r="G263" s="15"/>
      <c r="H263" s="17" t="str" cm="1">
        <f t="array" ref="H263">Reverse2_6(O263)</f>
        <v>00-010101</v>
      </c>
      <c r="I263" s="18" cm="1">
        <f t="array" ref="I263">HEX2DEC(Reverse(P263))</f>
        <v>93631153</v>
      </c>
      <c r="J263" s="18" cm="1">
        <f t="array" ref="J263">IF(Q263&lt;&gt;0, HEX2DEC(Reverse(Q263))-$I263,"")</f>
        <v>109</v>
      </c>
      <c r="K263" s="18" cm="1">
        <f t="array" ref="K263">IF(R263&lt;&gt;0, HEX2DEC(Reverse(R263))-$I263,"")</f>
        <v>17</v>
      </c>
      <c r="L263" s="18" cm="1">
        <f t="array" ref="L263">IF(S263&lt;&gt;0, HEX2DEC(Reverse(S263))-$I263,"")</f>
        <v>110</v>
      </c>
      <c r="M263" s="18" cm="1">
        <f t="array" ref="M263">IF(T263&lt;&gt;0, HEX2DEC(Reverse(T263))-$I263,"")</f>
        <v>18</v>
      </c>
      <c r="O263" s="3">
        <v>1010100</v>
      </c>
      <c r="P263" s="3" t="s">
        <v>114</v>
      </c>
      <c r="Q263" s="3" t="s">
        <v>1152</v>
      </c>
      <c r="R263" s="19" t="s">
        <v>146</v>
      </c>
      <c r="S263" s="3" t="s">
        <v>1155</v>
      </c>
      <c r="T263" s="3" t="s">
        <v>148</v>
      </c>
      <c r="U263" s="3" t="s">
        <v>1156</v>
      </c>
      <c r="V263" s="4" t="s">
        <v>1157</v>
      </c>
    </row>
    <row r="264" spans="1:22" x14ac:dyDescent="0.2">
      <c r="A264" s="16" t="s">
        <v>352</v>
      </c>
      <c r="B264" s="16">
        <v>3095</v>
      </c>
      <c r="C264" s="15" t="s">
        <v>2</v>
      </c>
      <c r="D264" s="15" t="s">
        <v>1</v>
      </c>
      <c r="E264" s="15" t="s">
        <v>92</v>
      </c>
      <c r="F264" s="15" t="s">
        <v>96</v>
      </c>
      <c r="G264" s="15"/>
      <c r="H264" s="17" t="str" cm="1">
        <f t="array" ref="H264">Reverse2_6(O264)</f>
        <v>00-010101</v>
      </c>
      <c r="I264" s="18" cm="1">
        <f t="array" ref="I264">HEX2DEC(Reverse(P264))</f>
        <v>93631153</v>
      </c>
      <c r="J264" s="18" cm="1">
        <f t="array" ref="J264">IF(Q264&lt;&gt;0, HEX2DEC(Reverse(Q264))-$I264,"")</f>
        <v>110</v>
      </c>
      <c r="K264" s="18" cm="1">
        <f t="array" ref="K264">IF(R264&lt;&gt;0, HEX2DEC(Reverse(R264))-$I264,"")</f>
        <v>17</v>
      </c>
      <c r="L264" s="18" cm="1">
        <f t="array" ref="L264">IF(S264&lt;&gt;0, HEX2DEC(Reverse(S264))-$I264,"")</f>
        <v>111</v>
      </c>
      <c r="M264" s="18" cm="1">
        <f t="array" ref="M264">IF(T264&lt;&gt;0, HEX2DEC(Reverse(T264))-$I264,"")</f>
        <v>18</v>
      </c>
      <c r="O264" s="3">
        <v>1010100</v>
      </c>
      <c r="P264" s="3" t="s">
        <v>114</v>
      </c>
      <c r="Q264" s="3" t="s">
        <v>1155</v>
      </c>
      <c r="R264" s="19" t="s">
        <v>146</v>
      </c>
      <c r="S264" s="3" t="s">
        <v>1158</v>
      </c>
      <c r="T264" s="3" t="s">
        <v>148</v>
      </c>
      <c r="U264" s="3" t="s">
        <v>1159</v>
      </c>
      <c r="V264" s="4" t="s">
        <v>1160</v>
      </c>
    </row>
    <row r="265" spans="1:22" x14ac:dyDescent="0.2">
      <c r="A265" s="16" t="s">
        <v>353</v>
      </c>
      <c r="B265" s="16">
        <v>3096</v>
      </c>
      <c r="C265" s="15" t="s">
        <v>2</v>
      </c>
      <c r="D265" s="15" t="s">
        <v>1</v>
      </c>
      <c r="E265" s="15" t="s">
        <v>92</v>
      </c>
      <c r="F265" s="15" t="s">
        <v>96</v>
      </c>
      <c r="G265" s="15"/>
      <c r="H265" s="17" t="str" cm="1">
        <f t="array" ref="H265">Reverse2_6(O265)</f>
        <v>00-010101</v>
      </c>
      <c r="I265" s="18" cm="1">
        <f t="array" ref="I265">HEX2DEC(Reverse(P265))</f>
        <v>93631153</v>
      </c>
      <c r="J265" s="18" cm="1">
        <f t="array" ref="J265">IF(Q265&lt;&gt;0, HEX2DEC(Reverse(Q265))-$I265,"")</f>
        <v>111</v>
      </c>
      <c r="K265" s="18" cm="1">
        <f t="array" ref="K265">IF(R265&lt;&gt;0, HEX2DEC(Reverse(R265))-$I265,"")</f>
        <v>17</v>
      </c>
      <c r="L265" s="18" cm="1">
        <f t="array" ref="L265">IF(S265&lt;&gt;0, HEX2DEC(Reverse(S265))-$I265,"")</f>
        <v>112</v>
      </c>
      <c r="M265" s="18" cm="1">
        <f t="array" ref="M265">IF(T265&lt;&gt;0, HEX2DEC(Reverse(T265))-$I265,"")</f>
        <v>18</v>
      </c>
      <c r="O265" s="3">
        <v>1010100</v>
      </c>
      <c r="P265" s="3" t="s">
        <v>114</v>
      </c>
      <c r="Q265" s="3" t="s">
        <v>1158</v>
      </c>
      <c r="R265" s="19" t="s">
        <v>146</v>
      </c>
      <c r="S265" s="3" t="s">
        <v>1161</v>
      </c>
      <c r="T265" s="3" t="s">
        <v>148</v>
      </c>
      <c r="U265" s="3" t="s">
        <v>1162</v>
      </c>
      <c r="V265" s="4" t="s">
        <v>1163</v>
      </c>
    </row>
    <row r="266" spans="1:22" x14ac:dyDescent="0.2">
      <c r="A266" s="16" t="s">
        <v>354</v>
      </c>
      <c r="B266" s="16">
        <v>3097</v>
      </c>
      <c r="C266" s="15" t="s">
        <v>2</v>
      </c>
      <c r="D266" s="15" t="s">
        <v>1</v>
      </c>
      <c r="E266" s="15" t="s">
        <v>92</v>
      </c>
      <c r="F266" s="15" t="s">
        <v>96</v>
      </c>
      <c r="G266" s="15"/>
      <c r="H266" s="17" t="str" cm="1">
        <f t="array" ref="H266">Reverse2_6(O266)</f>
        <v>00-010101</v>
      </c>
      <c r="I266" s="18" cm="1">
        <f t="array" ref="I266">HEX2DEC(Reverse(P266))</f>
        <v>93631153</v>
      </c>
      <c r="J266" s="18" cm="1">
        <f t="array" ref="J266">IF(Q266&lt;&gt;0, HEX2DEC(Reverse(Q266))-$I266,"")</f>
        <v>112</v>
      </c>
      <c r="K266" s="18" cm="1">
        <f t="array" ref="K266">IF(R266&lt;&gt;0, HEX2DEC(Reverse(R266))-$I266,"")</f>
        <v>17</v>
      </c>
      <c r="L266" s="18" cm="1">
        <f t="array" ref="L266">IF(S266&lt;&gt;0, HEX2DEC(Reverse(S266))-$I266,"")</f>
        <v>113</v>
      </c>
      <c r="M266" s="18" cm="1">
        <f t="array" ref="M266">IF(T266&lt;&gt;0, HEX2DEC(Reverse(T266))-$I266,"")</f>
        <v>18</v>
      </c>
      <c r="O266" s="3">
        <v>1010100</v>
      </c>
      <c r="P266" s="3" t="s">
        <v>114</v>
      </c>
      <c r="Q266" s="3" t="s">
        <v>1161</v>
      </c>
      <c r="R266" s="19" t="s">
        <v>146</v>
      </c>
      <c r="S266" s="3" t="s">
        <v>1164</v>
      </c>
      <c r="T266" s="3" t="s">
        <v>148</v>
      </c>
      <c r="U266" s="3" t="s">
        <v>1165</v>
      </c>
      <c r="V266" s="4" t="s">
        <v>1166</v>
      </c>
    </row>
    <row r="267" spans="1:22" x14ac:dyDescent="0.2">
      <c r="A267" s="16" t="s">
        <v>355</v>
      </c>
      <c r="B267" s="16">
        <v>3098</v>
      </c>
      <c r="C267" s="15" t="s">
        <v>2</v>
      </c>
      <c r="D267" s="15" t="s">
        <v>1</v>
      </c>
      <c r="E267" s="15" t="s">
        <v>92</v>
      </c>
      <c r="F267" s="15" t="s">
        <v>96</v>
      </c>
      <c r="G267" s="15"/>
      <c r="H267" s="17" t="str" cm="1">
        <f t="array" ref="H267">Reverse2_6(O267)</f>
        <v>00-010101</v>
      </c>
      <c r="I267" s="18" cm="1">
        <f t="array" ref="I267">HEX2DEC(Reverse(P267))</f>
        <v>93631153</v>
      </c>
      <c r="J267" s="18" cm="1">
        <f t="array" ref="J267">IF(Q267&lt;&gt;0, HEX2DEC(Reverse(Q267))-$I267,"")</f>
        <v>113</v>
      </c>
      <c r="K267" s="18" cm="1">
        <f t="array" ref="K267">IF(R267&lt;&gt;0, HEX2DEC(Reverse(R267))-$I267,"")</f>
        <v>17</v>
      </c>
      <c r="L267" s="18" cm="1">
        <f t="array" ref="L267">IF(S267&lt;&gt;0, HEX2DEC(Reverse(S267))-$I267,"")</f>
        <v>114</v>
      </c>
      <c r="M267" s="18" cm="1">
        <f t="array" ref="M267">IF(T267&lt;&gt;0, HEX2DEC(Reverse(T267))-$I267,"")</f>
        <v>18</v>
      </c>
      <c r="O267" s="3">
        <v>1010100</v>
      </c>
      <c r="P267" s="3" t="s">
        <v>114</v>
      </c>
      <c r="Q267" s="3" t="s">
        <v>1164</v>
      </c>
      <c r="R267" s="19" t="s">
        <v>146</v>
      </c>
      <c r="S267" s="3" t="s">
        <v>1167</v>
      </c>
      <c r="T267" s="3" t="s">
        <v>148</v>
      </c>
      <c r="U267" s="3" t="s">
        <v>1168</v>
      </c>
      <c r="V267" s="4" t="s">
        <v>1169</v>
      </c>
    </row>
    <row r="268" spans="1:22" x14ac:dyDescent="0.2">
      <c r="A268" s="16" t="s">
        <v>356</v>
      </c>
      <c r="B268" s="16">
        <v>3099</v>
      </c>
      <c r="C268" s="15" t="s">
        <v>2</v>
      </c>
      <c r="D268" s="15" t="s">
        <v>1</v>
      </c>
      <c r="E268" s="15" t="s">
        <v>92</v>
      </c>
      <c r="F268" s="15" t="s">
        <v>96</v>
      </c>
      <c r="G268" s="15"/>
      <c r="H268" s="17" t="str" cm="1">
        <f t="array" ref="H268">Reverse2_6(O268)</f>
        <v>00-010101</v>
      </c>
      <c r="I268" s="18" cm="1">
        <f t="array" ref="I268">HEX2DEC(Reverse(P268))</f>
        <v>93631153</v>
      </c>
      <c r="J268" s="18" cm="1">
        <f t="array" ref="J268">IF(Q268&lt;&gt;0, HEX2DEC(Reverse(Q268))-$I268,"")</f>
        <v>114</v>
      </c>
      <c r="K268" s="18" cm="1">
        <f t="array" ref="K268">IF(R268&lt;&gt;0, HEX2DEC(Reverse(R268))-$I268,"")</f>
        <v>17</v>
      </c>
      <c r="L268" s="18" cm="1">
        <f t="array" ref="L268">IF(S268&lt;&gt;0, HEX2DEC(Reverse(S268))-$I268,"")</f>
        <v>115</v>
      </c>
      <c r="M268" s="18" cm="1">
        <f t="array" ref="M268">IF(T268&lt;&gt;0, HEX2DEC(Reverse(T268))-$I268,"")</f>
        <v>18</v>
      </c>
      <c r="O268" s="3">
        <v>1010100</v>
      </c>
      <c r="P268" s="3" t="s">
        <v>114</v>
      </c>
      <c r="Q268" s="3" t="s">
        <v>1167</v>
      </c>
      <c r="R268" s="19" t="s">
        <v>146</v>
      </c>
      <c r="S268" s="3" t="s">
        <v>1170</v>
      </c>
      <c r="T268" s="3" t="s">
        <v>148</v>
      </c>
      <c r="U268" s="3" t="s">
        <v>1171</v>
      </c>
      <c r="V268" s="4" t="s">
        <v>1172</v>
      </c>
    </row>
    <row r="269" spans="1:22" x14ac:dyDescent="0.2">
      <c r="A269" s="16" t="s">
        <v>357</v>
      </c>
      <c r="B269" s="16">
        <v>3100</v>
      </c>
      <c r="C269" s="15" t="s">
        <v>2</v>
      </c>
      <c r="D269" s="15" t="s">
        <v>1</v>
      </c>
      <c r="E269" s="15" t="s">
        <v>92</v>
      </c>
      <c r="F269" s="15" t="s">
        <v>96</v>
      </c>
      <c r="G269" s="15"/>
      <c r="H269" s="17" t="str" cm="1">
        <f t="array" ref="H269">Reverse2_6(O269)</f>
        <v>00-010101</v>
      </c>
      <c r="I269" s="18" cm="1">
        <f t="array" ref="I269">HEX2DEC(Reverse(P269))</f>
        <v>93631153</v>
      </c>
      <c r="J269" s="18" cm="1">
        <f t="array" ref="J269">IF(Q269&lt;&gt;0, HEX2DEC(Reverse(Q269))-$I269,"")</f>
        <v>115</v>
      </c>
      <c r="K269" s="18" cm="1">
        <f t="array" ref="K269">IF(R269&lt;&gt;0, HEX2DEC(Reverse(R269))-$I269,"")</f>
        <v>17</v>
      </c>
      <c r="L269" s="18" cm="1">
        <f t="array" ref="L269">IF(S269&lt;&gt;0, HEX2DEC(Reverse(S269))-$I269,"")</f>
        <v>116</v>
      </c>
      <c r="M269" s="18" cm="1">
        <f t="array" ref="M269">IF(T269&lt;&gt;0, HEX2DEC(Reverse(T269))-$I269,"")</f>
        <v>18</v>
      </c>
      <c r="O269" s="3">
        <v>1010100</v>
      </c>
      <c r="P269" s="3" t="s">
        <v>114</v>
      </c>
      <c r="Q269" s="3" t="s">
        <v>1170</v>
      </c>
      <c r="R269" s="19" t="s">
        <v>146</v>
      </c>
      <c r="S269" s="3" t="s">
        <v>1173</v>
      </c>
      <c r="T269" s="3" t="s">
        <v>148</v>
      </c>
      <c r="U269" s="3" t="s">
        <v>1174</v>
      </c>
      <c r="V269" s="4" t="s">
        <v>1175</v>
      </c>
    </row>
    <row r="270" spans="1:22" x14ac:dyDescent="0.2">
      <c r="A270" s="20" t="s">
        <v>358</v>
      </c>
      <c r="B270" s="20">
        <v>3101</v>
      </c>
      <c r="C270" s="21" t="s">
        <v>1</v>
      </c>
      <c r="D270" s="21" t="s">
        <v>2</v>
      </c>
      <c r="E270" s="21" t="s">
        <v>90</v>
      </c>
      <c r="F270" s="21" t="s">
        <v>94</v>
      </c>
      <c r="G270" s="21" t="s">
        <v>1778</v>
      </c>
      <c r="H270" s="22" t="str" cm="1">
        <f t="array" ref="H270">Reverse2_6(O270)</f>
        <v>00-010201</v>
      </c>
      <c r="I270" s="45" cm="1">
        <f t="array" ref="I270">HEX2DEC(Reverse(P270))</f>
        <v>93631153</v>
      </c>
      <c r="J270" s="45" cm="1">
        <f t="array" ref="J270">IF(Q270&lt;&gt;0, HEX2DEC(Reverse(Q270))-$I270,"")</f>
        <v>17</v>
      </c>
      <c r="K270" s="45" cm="1">
        <f t="array" ref="K270">IF(R270&lt;&gt;0, HEX2DEC(Reverse(R270))-$I270,"")</f>
        <v>109</v>
      </c>
      <c r="L270" s="45" t="str" cm="1">
        <f t="array" ref="L270">IF(S270&lt;&gt;0, HEX2DEC(Reverse(S270))-$I270,"")</f>
        <v/>
      </c>
      <c r="M270" s="45" cm="1">
        <f t="array" ref="M270">IF(T270&lt;&gt;0, HEX2DEC(Reverse(T270))-$I270,"")</f>
        <v>110</v>
      </c>
      <c r="O270" s="3">
        <v>1020100</v>
      </c>
      <c r="P270" s="3" t="s">
        <v>114</v>
      </c>
      <c r="Q270" s="3" t="s">
        <v>146</v>
      </c>
      <c r="R270" s="3" t="s">
        <v>1152</v>
      </c>
      <c r="S270" s="3">
        <v>0</v>
      </c>
      <c r="T270" s="3" t="s">
        <v>1155</v>
      </c>
      <c r="U270" s="3"/>
      <c r="V270" s="4"/>
    </row>
    <row r="271" spans="1:22" x14ac:dyDescent="0.2">
      <c r="A271" s="20" t="s">
        <v>359</v>
      </c>
      <c r="B271" s="20">
        <v>3102</v>
      </c>
      <c r="C271" s="21" t="s">
        <v>1</v>
      </c>
      <c r="D271" s="21" t="s">
        <v>2</v>
      </c>
      <c r="E271" s="21" t="s">
        <v>90</v>
      </c>
      <c r="F271" s="21" t="s">
        <v>94</v>
      </c>
      <c r="G271" s="21" t="s">
        <v>1778</v>
      </c>
      <c r="H271" s="22" t="str" cm="1">
        <f t="array" ref="H271">Reverse2_6(O271)</f>
        <v>00-010201</v>
      </c>
      <c r="I271" s="45" cm="1">
        <f t="array" ref="I271">HEX2DEC(Reverse(P271))</f>
        <v>93631153</v>
      </c>
      <c r="J271" s="45" cm="1">
        <f t="array" ref="J271">IF(Q271&lt;&gt;0, HEX2DEC(Reverse(Q271))-$I271,"")</f>
        <v>17</v>
      </c>
      <c r="K271" s="45" cm="1">
        <f t="array" ref="K271">IF(R271&lt;&gt;0, HEX2DEC(Reverse(R271))-$I271,"")</f>
        <v>110</v>
      </c>
      <c r="L271" s="45" t="str" cm="1">
        <f t="array" ref="L271">IF(S271&lt;&gt;0, HEX2DEC(Reverse(S271))-$I271,"")</f>
        <v/>
      </c>
      <c r="M271" s="45" cm="1">
        <f t="array" ref="M271">IF(T271&lt;&gt;0, HEX2DEC(Reverse(T271))-$I271,"")</f>
        <v>111</v>
      </c>
      <c r="O271" s="3">
        <v>1020100</v>
      </c>
      <c r="P271" s="3" t="s">
        <v>114</v>
      </c>
      <c r="Q271" s="3" t="s">
        <v>146</v>
      </c>
      <c r="R271" s="3" t="s">
        <v>1155</v>
      </c>
      <c r="S271" s="3">
        <v>0</v>
      </c>
      <c r="T271" s="3" t="s">
        <v>1158</v>
      </c>
      <c r="U271" s="3"/>
      <c r="V271" s="4"/>
    </row>
    <row r="272" spans="1:22" x14ac:dyDescent="0.2">
      <c r="A272" s="20" t="s">
        <v>360</v>
      </c>
      <c r="B272" s="20">
        <v>3103</v>
      </c>
      <c r="C272" s="21" t="s">
        <v>1</v>
      </c>
      <c r="D272" s="21" t="s">
        <v>2</v>
      </c>
      <c r="E272" s="21" t="s">
        <v>90</v>
      </c>
      <c r="F272" s="21" t="s">
        <v>94</v>
      </c>
      <c r="G272" s="21" t="s">
        <v>1778</v>
      </c>
      <c r="H272" s="22" t="str" cm="1">
        <f t="array" ref="H272">Reverse2_6(O272)</f>
        <v>00-010201</v>
      </c>
      <c r="I272" s="45" cm="1">
        <f t="array" ref="I272">HEX2DEC(Reverse(P272))</f>
        <v>93631153</v>
      </c>
      <c r="J272" s="45" cm="1">
        <f t="array" ref="J272">IF(Q272&lt;&gt;0, HEX2DEC(Reverse(Q272))-$I272,"")</f>
        <v>17</v>
      </c>
      <c r="K272" s="45" cm="1">
        <f t="array" ref="K272">IF(R272&lt;&gt;0, HEX2DEC(Reverse(R272))-$I272,"")</f>
        <v>111</v>
      </c>
      <c r="L272" s="45" t="str" cm="1">
        <f t="array" ref="L272">IF(S272&lt;&gt;0, HEX2DEC(Reverse(S272))-$I272,"")</f>
        <v/>
      </c>
      <c r="M272" s="45" cm="1">
        <f t="array" ref="M272">IF(T272&lt;&gt;0, HEX2DEC(Reverse(T272))-$I272,"")</f>
        <v>112</v>
      </c>
      <c r="O272" s="3">
        <v>1020100</v>
      </c>
      <c r="P272" s="3" t="s">
        <v>114</v>
      </c>
      <c r="Q272" s="3" t="s">
        <v>146</v>
      </c>
      <c r="R272" s="3" t="s">
        <v>1158</v>
      </c>
      <c r="S272" s="3">
        <v>0</v>
      </c>
      <c r="T272" s="3" t="s">
        <v>1161</v>
      </c>
      <c r="U272" s="3"/>
      <c r="V272" s="4"/>
    </row>
    <row r="273" spans="1:22" x14ac:dyDescent="0.2">
      <c r="A273" s="20" t="s">
        <v>361</v>
      </c>
      <c r="B273" s="20">
        <v>3104</v>
      </c>
      <c r="C273" s="21" t="s">
        <v>1</v>
      </c>
      <c r="D273" s="21" t="s">
        <v>2</v>
      </c>
      <c r="E273" s="21" t="s">
        <v>90</v>
      </c>
      <c r="F273" s="21" t="s">
        <v>94</v>
      </c>
      <c r="G273" s="21" t="s">
        <v>1778</v>
      </c>
      <c r="H273" s="22" t="str" cm="1">
        <f t="array" ref="H273">Reverse2_6(O273)</f>
        <v>00-010201</v>
      </c>
      <c r="I273" s="45" cm="1">
        <f t="array" ref="I273">HEX2DEC(Reverse(P273))</f>
        <v>93631153</v>
      </c>
      <c r="J273" s="45" cm="1">
        <f t="array" ref="J273">IF(Q273&lt;&gt;0, HEX2DEC(Reverse(Q273))-$I273,"")</f>
        <v>17</v>
      </c>
      <c r="K273" s="45" cm="1">
        <f t="array" ref="K273">IF(R273&lt;&gt;0, HEX2DEC(Reverse(R273))-$I273,"")</f>
        <v>112</v>
      </c>
      <c r="L273" s="45" t="str" cm="1">
        <f t="array" ref="L273">IF(S273&lt;&gt;0, HEX2DEC(Reverse(S273))-$I273,"")</f>
        <v/>
      </c>
      <c r="M273" s="45" cm="1">
        <f t="array" ref="M273">IF(T273&lt;&gt;0, HEX2DEC(Reverse(T273))-$I273,"")</f>
        <v>113</v>
      </c>
      <c r="O273" s="3">
        <v>1020100</v>
      </c>
      <c r="P273" s="3" t="s">
        <v>114</v>
      </c>
      <c r="Q273" s="3" t="s">
        <v>146</v>
      </c>
      <c r="R273" s="3" t="s">
        <v>1161</v>
      </c>
      <c r="S273" s="3">
        <v>0</v>
      </c>
      <c r="T273" s="3" t="s">
        <v>1164</v>
      </c>
      <c r="U273" s="3"/>
      <c r="V273" s="4"/>
    </row>
    <row r="274" spans="1:22" x14ac:dyDescent="0.2">
      <c r="A274" s="20" t="s">
        <v>362</v>
      </c>
      <c r="B274" s="20">
        <v>3105</v>
      </c>
      <c r="C274" s="21" t="s">
        <v>1</v>
      </c>
      <c r="D274" s="21" t="s">
        <v>2</v>
      </c>
      <c r="E274" s="21" t="s">
        <v>90</v>
      </c>
      <c r="F274" s="21" t="s">
        <v>94</v>
      </c>
      <c r="G274" s="21" t="s">
        <v>1778</v>
      </c>
      <c r="H274" s="22" t="str" cm="1">
        <f t="array" ref="H274">Reverse2_6(O274)</f>
        <v>00-010201</v>
      </c>
      <c r="I274" s="45" cm="1">
        <f t="array" ref="I274">HEX2DEC(Reverse(P274))</f>
        <v>93631153</v>
      </c>
      <c r="J274" s="45" cm="1">
        <f t="array" ref="J274">IF(Q274&lt;&gt;0, HEX2DEC(Reverse(Q274))-$I274,"")</f>
        <v>17</v>
      </c>
      <c r="K274" s="45" cm="1">
        <f t="array" ref="K274">IF(R274&lt;&gt;0, HEX2DEC(Reverse(R274))-$I274,"")</f>
        <v>113</v>
      </c>
      <c r="L274" s="45" t="str" cm="1">
        <f t="array" ref="L274">IF(S274&lt;&gt;0, HEX2DEC(Reverse(S274))-$I274,"")</f>
        <v/>
      </c>
      <c r="M274" s="45" cm="1">
        <f t="array" ref="M274">IF(T274&lt;&gt;0, HEX2DEC(Reverse(T274))-$I274,"")</f>
        <v>114</v>
      </c>
      <c r="O274" s="3">
        <v>1020100</v>
      </c>
      <c r="P274" s="3" t="s">
        <v>114</v>
      </c>
      <c r="Q274" s="3" t="s">
        <v>146</v>
      </c>
      <c r="R274" s="3" t="s">
        <v>1164</v>
      </c>
      <c r="S274" s="3">
        <v>0</v>
      </c>
      <c r="T274" s="3" t="s">
        <v>1167</v>
      </c>
      <c r="U274" s="3"/>
      <c r="V274" s="4"/>
    </row>
    <row r="275" spans="1:22" x14ac:dyDescent="0.2">
      <c r="A275" s="20" t="s">
        <v>363</v>
      </c>
      <c r="B275" s="20">
        <v>3106</v>
      </c>
      <c r="C275" s="21" t="s">
        <v>1</v>
      </c>
      <c r="D275" s="21" t="s">
        <v>2</v>
      </c>
      <c r="E275" s="21" t="s">
        <v>90</v>
      </c>
      <c r="F275" s="21" t="s">
        <v>94</v>
      </c>
      <c r="G275" s="21" t="s">
        <v>1778</v>
      </c>
      <c r="H275" s="22" t="str" cm="1">
        <f t="array" ref="H275">Reverse2_6(O275)</f>
        <v>00-010201</v>
      </c>
      <c r="I275" s="45" cm="1">
        <f t="array" ref="I275">HEX2DEC(Reverse(P275))</f>
        <v>93631153</v>
      </c>
      <c r="J275" s="45" cm="1">
        <f t="array" ref="J275">IF(Q275&lt;&gt;0, HEX2DEC(Reverse(Q275))-$I275,"")</f>
        <v>17</v>
      </c>
      <c r="K275" s="45" cm="1">
        <f t="array" ref="K275">IF(R275&lt;&gt;0, HEX2DEC(Reverse(R275))-$I275,"")</f>
        <v>114</v>
      </c>
      <c r="L275" s="45" t="str" cm="1">
        <f t="array" ref="L275">IF(S275&lt;&gt;0, HEX2DEC(Reverse(S275))-$I275,"")</f>
        <v/>
      </c>
      <c r="M275" s="45" cm="1">
        <f t="array" ref="M275">IF(T275&lt;&gt;0, HEX2DEC(Reverse(T275))-$I275,"")</f>
        <v>115</v>
      </c>
      <c r="O275" s="3">
        <v>1020100</v>
      </c>
      <c r="P275" s="3" t="s">
        <v>114</v>
      </c>
      <c r="Q275" s="3" t="s">
        <v>146</v>
      </c>
      <c r="R275" s="3" t="s">
        <v>1167</v>
      </c>
      <c r="S275" s="3">
        <v>0</v>
      </c>
      <c r="T275" s="3" t="s">
        <v>1170</v>
      </c>
      <c r="U275" s="3"/>
      <c r="V275" s="4"/>
    </row>
    <row r="276" spans="1:22" x14ac:dyDescent="0.2">
      <c r="A276" s="20" t="s">
        <v>364</v>
      </c>
      <c r="B276" s="20">
        <v>3107</v>
      </c>
      <c r="C276" s="21" t="s">
        <v>1</v>
      </c>
      <c r="D276" s="21" t="s">
        <v>2</v>
      </c>
      <c r="E276" s="21" t="s">
        <v>90</v>
      </c>
      <c r="F276" s="21" t="s">
        <v>94</v>
      </c>
      <c r="G276" s="21" t="s">
        <v>1778</v>
      </c>
      <c r="H276" s="22" t="str" cm="1">
        <f t="array" ref="H276">Reverse2_6(O276)</f>
        <v>00-010201</v>
      </c>
      <c r="I276" s="45" cm="1">
        <f t="array" ref="I276">HEX2DEC(Reverse(P276))</f>
        <v>93631153</v>
      </c>
      <c r="J276" s="45" cm="1">
        <f t="array" ref="J276">IF(Q276&lt;&gt;0, HEX2DEC(Reverse(Q276))-$I276,"")</f>
        <v>17</v>
      </c>
      <c r="K276" s="45" cm="1">
        <f t="array" ref="K276">IF(R276&lt;&gt;0, HEX2DEC(Reverse(R276))-$I276,"")</f>
        <v>115</v>
      </c>
      <c r="L276" s="45" t="str" cm="1">
        <f t="array" ref="L276">IF(S276&lt;&gt;0, HEX2DEC(Reverse(S276))-$I276,"")</f>
        <v/>
      </c>
      <c r="M276" s="45" cm="1">
        <f t="array" ref="M276">IF(T276&lt;&gt;0, HEX2DEC(Reverse(T276))-$I276,"")</f>
        <v>116</v>
      </c>
      <c r="O276" s="3">
        <v>1020100</v>
      </c>
      <c r="P276" s="3" t="s">
        <v>114</v>
      </c>
      <c r="Q276" s="3" t="s">
        <v>146</v>
      </c>
      <c r="R276" s="3" t="s">
        <v>1170</v>
      </c>
      <c r="S276" s="3">
        <v>0</v>
      </c>
      <c r="T276" s="3" t="s">
        <v>1173</v>
      </c>
      <c r="U276" s="3"/>
      <c r="V276" s="4"/>
    </row>
    <row r="277" spans="1:22" x14ac:dyDescent="0.2">
      <c r="A277" s="16" t="s">
        <v>365</v>
      </c>
      <c r="B277" s="16">
        <v>3108</v>
      </c>
      <c r="C277" s="15" t="s">
        <v>2</v>
      </c>
      <c r="D277" s="15" t="s">
        <v>1</v>
      </c>
      <c r="E277" s="15" t="s">
        <v>92</v>
      </c>
      <c r="F277" s="15" t="s">
        <v>96</v>
      </c>
      <c r="G277" s="15"/>
      <c r="H277" s="17" t="str" cm="1">
        <f t="array" ref="H277">Reverse2_6(O277)</f>
        <v>00-010101</v>
      </c>
      <c r="I277" s="18" cm="1">
        <f t="array" ref="I277">HEX2DEC(Reverse(P277))</f>
        <v>93631153</v>
      </c>
      <c r="J277" s="18" cm="1">
        <f t="array" ref="J277">IF(Q277&lt;&gt;0, HEX2DEC(Reverse(Q277))-$I277,"")</f>
        <v>116</v>
      </c>
      <c r="K277" s="18" cm="1">
        <f t="array" ref="K277">IF(R277&lt;&gt;0, HEX2DEC(Reverse(R277))-$I277,"")</f>
        <v>17</v>
      </c>
      <c r="L277" s="18" cm="1">
        <f t="array" ref="L277">IF(S277&lt;&gt;0, HEX2DEC(Reverse(S277))-$I277,"")</f>
        <v>117</v>
      </c>
      <c r="M277" s="18" cm="1">
        <f t="array" ref="M277">IF(T277&lt;&gt;0, HEX2DEC(Reverse(T277))-$I277,"")</f>
        <v>18</v>
      </c>
      <c r="O277" s="3">
        <v>1010100</v>
      </c>
      <c r="P277" s="3" t="s">
        <v>114</v>
      </c>
      <c r="Q277" s="3" t="s">
        <v>1173</v>
      </c>
      <c r="R277" s="19" t="s">
        <v>146</v>
      </c>
      <c r="S277" s="3" t="s">
        <v>1176</v>
      </c>
      <c r="T277" s="3" t="s">
        <v>148</v>
      </c>
      <c r="U277" s="3" t="s">
        <v>1177</v>
      </c>
      <c r="V277" s="4" t="s">
        <v>1178</v>
      </c>
    </row>
    <row r="278" spans="1:22" x14ac:dyDescent="0.2">
      <c r="A278" s="16" t="s">
        <v>366</v>
      </c>
      <c r="B278" s="16">
        <v>3109</v>
      </c>
      <c r="C278" s="15" t="s">
        <v>2</v>
      </c>
      <c r="D278" s="15" t="s">
        <v>1</v>
      </c>
      <c r="E278" s="15" t="s">
        <v>92</v>
      </c>
      <c r="F278" s="15" t="s">
        <v>96</v>
      </c>
      <c r="G278" s="15"/>
      <c r="H278" s="17" t="str" cm="1">
        <f t="array" ref="H278">Reverse2_6(O278)</f>
        <v>00-010101</v>
      </c>
      <c r="I278" s="18" cm="1">
        <f t="array" ref="I278">HEX2DEC(Reverse(P278))</f>
        <v>93631153</v>
      </c>
      <c r="J278" s="18" cm="1">
        <f t="array" ref="J278">IF(Q278&lt;&gt;0, HEX2DEC(Reverse(Q278))-$I278,"")</f>
        <v>117</v>
      </c>
      <c r="K278" s="18" cm="1">
        <f t="array" ref="K278">IF(R278&lt;&gt;0, HEX2DEC(Reverse(R278))-$I278,"")</f>
        <v>17</v>
      </c>
      <c r="L278" s="18" cm="1">
        <f t="array" ref="L278">IF(S278&lt;&gt;0, HEX2DEC(Reverse(S278))-$I278,"")</f>
        <v>118</v>
      </c>
      <c r="M278" s="18" cm="1">
        <f t="array" ref="M278">IF(T278&lt;&gt;0, HEX2DEC(Reverse(T278))-$I278,"")</f>
        <v>18</v>
      </c>
      <c r="O278" s="3">
        <v>1010100</v>
      </c>
      <c r="P278" s="3" t="s">
        <v>114</v>
      </c>
      <c r="Q278" s="3" t="s">
        <v>1176</v>
      </c>
      <c r="R278" s="19" t="s">
        <v>146</v>
      </c>
      <c r="S278" s="3" t="s">
        <v>1179</v>
      </c>
      <c r="T278" s="3" t="s">
        <v>148</v>
      </c>
      <c r="U278" s="3" t="s">
        <v>1180</v>
      </c>
      <c r="V278" s="4" t="s">
        <v>1181</v>
      </c>
    </row>
    <row r="279" spans="1:22" x14ac:dyDescent="0.2">
      <c r="A279" s="16" t="s">
        <v>367</v>
      </c>
      <c r="B279" s="16">
        <v>3110</v>
      </c>
      <c r="C279" s="15" t="s">
        <v>2</v>
      </c>
      <c r="D279" s="15" t="s">
        <v>1</v>
      </c>
      <c r="E279" s="15" t="s">
        <v>92</v>
      </c>
      <c r="F279" s="15" t="s">
        <v>847</v>
      </c>
      <c r="G279" s="15"/>
      <c r="H279" s="17" t="str" cm="1">
        <f t="array" ref="H279">Reverse2_6(O279)</f>
        <v>00-010101</v>
      </c>
      <c r="I279" s="18" cm="1">
        <f t="array" ref="I279">HEX2DEC(Reverse(P279))</f>
        <v>93631153</v>
      </c>
      <c r="J279" s="18" cm="1">
        <f t="array" ref="J279">IF(Q279&lt;&gt;0, HEX2DEC(Reverse(Q279))-$I279,"")</f>
        <v>118</v>
      </c>
      <c r="K279" s="18" cm="1">
        <f t="array" ref="K279">IF(R279&lt;&gt;0, HEX2DEC(Reverse(R279))-$I279,"")</f>
        <v>17</v>
      </c>
      <c r="L279" s="18" cm="1">
        <f t="array" ref="L279">IF(S279&lt;&gt;0, HEX2DEC(Reverse(S279))-$I279,"")</f>
        <v>119</v>
      </c>
      <c r="M279" s="18" cm="1">
        <f t="array" ref="M279">IF(T279&lt;&gt;0, HEX2DEC(Reverse(T279))-$I279,"")</f>
        <v>18</v>
      </c>
      <c r="O279" s="3">
        <v>1010100</v>
      </c>
      <c r="P279" s="3" t="s">
        <v>114</v>
      </c>
      <c r="Q279" s="3" t="s">
        <v>1179</v>
      </c>
      <c r="R279" s="19" t="s">
        <v>146</v>
      </c>
      <c r="S279" s="3" t="s">
        <v>1182</v>
      </c>
      <c r="T279" s="3" t="s">
        <v>148</v>
      </c>
      <c r="U279" s="3">
        <v>640597000000000</v>
      </c>
      <c r="V279" s="4" t="s">
        <v>1183</v>
      </c>
    </row>
    <row r="280" spans="1:22" x14ac:dyDescent="0.2">
      <c r="A280" s="20" t="s">
        <v>368</v>
      </c>
      <c r="B280" s="20">
        <v>3111</v>
      </c>
      <c r="C280" s="21" t="s">
        <v>1</v>
      </c>
      <c r="D280" s="21" t="s">
        <v>2</v>
      </c>
      <c r="E280" s="21" t="s">
        <v>90</v>
      </c>
      <c r="F280" s="21" t="s">
        <v>94</v>
      </c>
      <c r="G280" s="21" t="s">
        <v>1778</v>
      </c>
      <c r="H280" s="22" t="str" cm="1">
        <f t="array" ref="H280">Reverse2_6(O280)</f>
        <v>00-010201</v>
      </c>
      <c r="I280" s="45" cm="1">
        <f t="array" ref="I280">HEX2DEC(Reverse(P280))</f>
        <v>93631153</v>
      </c>
      <c r="J280" s="45" cm="1">
        <f t="array" ref="J280">IF(Q280&lt;&gt;0, HEX2DEC(Reverse(Q280))-$I280,"")</f>
        <v>17</v>
      </c>
      <c r="K280" s="45" cm="1">
        <f t="array" ref="K280">IF(R280&lt;&gt;0, HEX2DEC(Reverse(R280))-$I280,"")</f>
        <v>116</v>
      </c>
      <c r="L280" s="45" t="str" cm="1">
        <f t="array" ref="L280">IF(S280&lt;&gt;0, HEX2DEC(Reverse(S280))-$I280,"")</f>
        <v/>
      </c>
      <c r="M280" s="45" cm="1">
        <f t="array" ref="M280">IF(T280&lt;&gt;0, HEX2DEC(Reverse(T280))-$I280,"")</f>
        <v>117</v>
      </c>
      <c r="O280" s="3">
        <v>1020100</v>
      </c>
      <c r="P280" s="3" t="s">
        <v>114</v>
      </c>
      <c r="Q280" s="3" t="s">
        <v>146</v>
      </c>
      <c r="R280" s="3" t="s">
        <v>1173</v>
      </c>
      <c r="S280" s="3">
        <v>0</v>
      </c>
      <c r="T280" s="3" t="s">
        <v>1176</v>
      </c>
      <c r="U280" s="3"/>
      <c r="V280" s="4"/>
    </row>
    <row r="281" spans="1:22" x14ac:dyDescent="0.2">
      <c r="A281" s="20" t="s">
        <v>369</v>
      </c>
      <c r="B281" s="20">
        <v>3112</v>
      </c>
      <c r="C281" s="21" t="s">
        <v>1</v>
      </c>
      <c r="D281" s="21" t="s">
        <v>2</v>
      </c>
      <c r="E281" s="21" t="s">
        <v>90</v>
      </c>
      <c r="F281" s="21" t="s">
        <v>94</v>
      </c>
      <c r="G281" s="21" t="s">
        <v>1778</v>
      </c>
      <c r="H281" s="22" t="str" cm="1">
        <f t="array" ref="H281">Reverse2_6(O281)</f>
        <v>00-010201</v>
      </c>
      <c r="I281" s="45" cm="1">
        <f t="array" ref="I281">HEX2DEC(Reverse(P281))</f>
        <v>93631153</v>
      </c>
      <c r="J281" s="45" cm="1">
        <f t="array" ref="J281">IF(Q281&lt;&gt;0, HEX2DEC(Reverse(Q281))-$I281,"")</f>
        <v>17</v>
      </c>
      <c r="K281" s="45" cm="1">
        <f t="array" ref="K281">IF(R281&lt;&gt;0, HEX2DEC(Reverse(R281))-$I281,"")</f>
        <v>117</v>
      </c>
      <c r="L281" s="45" t="str" cm="1">
        <f t="array" ref="L281">IF(S281&lt;&gt;0, HEX2DEC(Reverse(S281))-$I281,"")</f>
        <v/>
      </c>
      <c r="M281" s="45" cm="1">
        <f t="array" ref="M281">IF(T281&lt;&gt;0, HEX2DEC(Reverse(T281))-$I281,"")</f>
        <v>118</v>
      </c>
      <c r="O281" s="3">
        <v>1020100</v>
      </c>
      <c r="P281" s="3" t="s">
        <v>114</v>
      </c>
      <c r="Q281" s="3" t="s">
        <v>146</v>
      </c>
      <c r="R281" s="3" t="s">
        <v>1176</v>
      </c>
      <c r="S281" s="3">
        <v>0</v>
      </c>
      <c r="T281" s="3" t="s">
        <v>1179</v>
      </c>
      <c r="U281" s="3"/>
      <c r="V281" s="4"/>
    </row>
    <row r="282" spans="1:22" x14ac:dyDescent="0.2">
      <c r="A282" s="20" t="s">
        <v>370</v>
      </c>
      <c r="B282" s="20">
        <v>3113</v>
      </c>
      <c r="C282" s="21" t="s">
        <v>1</v>
      </c>
      <c r="D282" s="21" t="s">
        <v>2</v>
      </c>
      <c r="E282" s="21" t="s">
        <v>90</v>
      </c>
      <c r="F282" s="21" t="s">
        <v>94</v>
      </c>
      <c r="G282" s="21" t="s">
        <v>1778</v>
      </c>
      <c r="H282" s="22" t="str" cm="1">
        <f t="array" ref="H282">Reverse2_6(O282)</f>
        <v>00-010201</v>
      </c>
      <c r="I282" s="45" cm="1">
        <f t="array" ref="I282">HEX2DEC(Reverse(P282))</f>
        <v>93631153</v>
      </c>
      <c r="J282" s="45" cm="1">
        <f t="array" ref="J282">IF(Q282&lt;&gt;0, HEX2DEC(Reverse(Q282))-$I282,"")</f>
        <v>17</v>
      </c>
      <c r="K282" s="45" cm="1">
        <f t="array" ref="K282">IF(R282&lt;&gt;0, HEX2DEC(Reverse(R282))-$I282,"")</f>
        <v>118</v>
      </c>
      <c r="L282" s="45" t="str" cm="1">
        <f t="array" ref="L282">IF(S282&lt;&gt;0, HEX2DEC(Reverse(S282))-$I282,"")</f>
        <v/>
      </c>
      <c r="M282" s="45" cm="1">
        <f t="array" ref="M282">IF(T282&lt;&gt;0, HEX2DEC(Reverse(T282))-$I282,"")</f>
        <v>119</v>
      </c>
      <c r="O282" s="3">
        <v>1020100</v>
      </c>
      <c r="P282" s="3" t="s">
        <v>114</v>
      </c>
      <c r="Q282" s="3" t="s">
        <v>146</v>
      </c>
      <c r="R282" s="3" t="s">
        <v>1179</v>
      </c>
      <c r="S282" s="3">
        <v>0</v>
      </c>
      <c r="T282" s="3" t="s">
        <v>1182</v>
      </c>
      <c r="U282" s="3"/>
      <c r="V282" s="4"/>
    </row>
    <row r="283" spans="1:22" x14ac:dyDescent="0.2">
      <c r="A283" s="16" t="s">
        <v>371</v>
      </c>
      <c r="B283" s="16">
        <v>3115</v>
      </c>
      <c r="C283" s="15" t="s">
        <v>2</v>
      </c>
      <c r="D283" s="15" t="s">
        <v>1</v>
      </c>
      <c r="E283" s="15" t="s">
        <v>92</v>
      </c>
      <c r="F283" s="15" t="s">
        <v>96</v>
      </c>
      <c r="G283" s="15"/>
      <c r="H283" s="17" t="str" cm="1">
        <f t="array" ref="H283">Reverse2_6(O283)</f>
        <v>00-010101</v>
      </c>
      <c r="I283" s="18" cm="1">
        <f t="array" ref="I283">HEX2DEC(Reverse(P283))</f>
        <v>93631153</v>
      </c>
      <c r="J283" s="18" cm="1">
        <f t="array" ref="J283">IF(Q283&lt;&gt;0, HEX2DEC(Reverse(Q283))-$I283,"")</f>
        <v>119</v>
      </c>
      <c r="K283" s="18" cm="1">
        <f t="array" ref="K283">IF(R283&lt;&gt;0, HEX2DEC(Reverse(R283))-$I283,"")</f>
        <v>17</v>
      </c>
      <c r="L283" s="18" cm="1">
        <f t="array" ref="L283">IF(S283&lt;&gt;0, HEX2DEC(Reverse(S283))-$I283,"")</f>
        <v>120</v>
      </c>
      <c r="M283" s="18" cm="1">
        <f t="array" ref="M283">IF(T283&lt;&gt;0, HEX2DEC(Reverse(T283))-$I283,"")</f>
        <v>18</v>
      </c>
      <c r="O283" s="3">
        <v>1010100</v>
      </c>
      <c r="P283" s="3" t="s">
        <v>114</v>
      </c>
      <c r="Q283" s="3" t="s">
        <v>1182</v>
      </c>
      <c r="R283" s="19" t="s">
        <v>146</v>
      </c>
      <c r="S283" s="3" t="s">
        <v>1184</v>
      </c>
      <c r="T283" s="3" t="s">
        <v>148</v>
      </c>
      <c r="U283" s="3">
        <v>31313131</v>
      </c>
      <c r="V283" s="4" t="s">
        <v>1185</v>
      </c>
    </row>
    <row r="284" spans="1:22" x14ac:dyDescent="0.2">
      <c r="A284" s="16" t="s">
        <v>372</v>
      </c>
      <c r="B284" s="16">
        <v>3116</v>
      </c>
      <c r="C284" s="15" t="s">
        <v>2</v>
      </c>
      <c r="D284" s="15" t="s">
        <v>1</v>
      </c>
      <c r="E284" s="15" t="s">
        <v>92</v>
      </c>
      <c r="F284" s="15" t="s">
        <v>96</v>
      </c>
      <c r="G284" s="15"/>
      <c r="H284" s="17" t="str" cm="1">
        <f t="array" ref="H284">Reverse2_6(O284)</f>
        <v>00-010101</v>
      </c>
      <c r="I284" s="18" cm="1">
        <f t="array" ref="I284">HEX2DEC(Reverse(P284))</f>
        <v>93631153</v>
      </c>
      <c r="J284" s="18" cm="1">
        <f t="array" ref="J284">IF(Q284&lt;&gt;0, HEX2DEC(Reverse(Q284))-$I284,"")</f>
        <v>120</v>
      </c>
      <c r="K284" s="18" cm="1">
        <f t="array" ref="K284">IF(R284&lt;&gt;0, HEX2DEC(Reverse(R284))-$I284,"")</f>
        <v>17</v>
      </c>
      <c r="L284" s="18" cm="1">
        <f t="array" ref="L284">IF(S284&lt;&gt;0, HEX2DEC(Reverse(S284))-$I284,"")</f>
        <v>121</v>
      </c>
      <c r="M284" s="18" cm="1">
        <f t="array" ref="M284">IF(T284&lt;&gt;0, HEX2DEC(Reverse(T284))-$I284,"")</f>
        <v>18</v>
      </c>
      <c r="O284" s="3">
        <v>1010100</v>
      </c>
      <c r="P284" s="3" t="s">
        <v>114</v>
      </c>
      <c r="Q284" s="3" t="s">
        <v>1184</v>
      </c>
      <c r="R284" s="19" t="s">
        <v>146</v>
      </c>
      <c r="S284" s="3" t="s">
        <v>1186</v>
      </c>
      <c r="T284" s="3" t="s">
        <v>148</v>
      </c>
      <c r="U284" s="3" t="s">
        <v>1187</v>
      </c>
      <c r="V284" s="4" t="s">
        <v>1188</v>
      </c>
    </row>
    <row r="285" spans="1:22" x14ac:dyDescent="0.2">
      <c r="A285" s="16" t="s">
        <v>373</v>
      </c>
      <c r="B285" s="16">
        <v>3117</v>
      </c>
      <c r="C285" s="15" t="s">
        <v>2</v>
      </c>
      <c r="D285" s="15" t="s">
        <v>1</v>
      </c>
      <c r="E285" s="15" t="s">
        <v>92</v>
      </c>
      <c r="F285" s="15" t="s">
        <v>848</v>
      </c>
      <c r="G285" s="15"/>
      <c r="H285" s="17" t="str" cm="1">
        <f t="array" ref="H285">Reverse2_6(O285)</f>
        <v>00-010101</v>
      </c>
      <c r="I285" s="18" cm="1">
        <f t="array" ref="I285">HEX2DEC(Reverse(P285))</f>
        <v>93631153</v>
      </c>
      <c r="J285" s="18" cm="1">
        <f t="array" ref="J285">IF(Q285&lt;&gt;0, HEX2DEC(Reverse(Q285))-$I285,"")</f>
        <v>121</v>
      </c>
      <c r="K285" s="18" cm="1">
        <f t="array" ref="K285">IF(R285&lt;&gt;0, HEX2DEC(Reverse(R285))-$I285,"")</f>
        <v>17</v>
      </c>
      <c r="L285" s="18" cm="1">
        <f t="array" ref="L285">IF(S285&lt;&gt;0, HEX2DEC(Reverse(S285))-$I285,"")</f>
        <v>122</v>
      </c>
      <c r="M285" s="18" cm="1">
        <f t="array" ref="M285">IF(T285&lt;&gt;0, HEX2DEC(Reverse(T285))-$I285,"")</f>
        <v>18</v>
      </c>
      <c r="O285" s="3">
        <v>1010100</v>
      </c>
      <c r="P285" s="3" t="s">
        <v>114</v>
      </c>
      <c r="Q285" s="3" t="s">
        <v>1186</v>
      </c>
      <c r="R285" s="19" t="s">
        <v>146</v>
      </c>
      <c r="S285" s="3" t="s">
        <v>1189</v>
      </c>
      <c r="T285" s="3" t="s">
        <v>148</v>
      </c>
      <c r="U285" s="3" t="s">
        <v>1190</v>
      </c>
      <c r="V285" s="4" t="s">
        <v>1191</v>
      </c>
    </row>
    <row r="286" spans="1:22" x14ac:dyDescent="0.2">
      <c r="A286" s="16" t="s">
        <v>374</v>
      </c>
      <c r="B286" s="16">
        <v>3118</v>
      </c>
      <c r="C286" s="15" t="s">
        <v>2</v>
      </c>
      <c r="D286" s="15" t="s">
        <v>1</v>
      </c>
      <c r="E286" s="15" t="s">
        <v>92</v>
      </c>
      <c r="F286" s="15" t="s">
        <v>96</v>
      </c>
      <c r="G286" s="15"/>
      <c r="H286" s="17" t="str" cm="1">
        <f t="array" ref="H286">Reverse2_6(O286)</f>
        <v>00-010101</v>
      </c>
      <c r="I286" s="18" cm="1">
        <f t="array" ref="I286">HEX2DEC(Reverse(P286))</f>
        <v>93631153</v>
      </c>
      <c r="J286" s="18" cm="1">
        <f t="array" ref="J286">IF(Q286&lt;&gt;0, HEX2DEC(Reverse(Q286))-$I286,"")</f>
        <v>122</v>
      </c>
      <c r="K286" s="18" cm="1">
        <f t="array" ref="K286">IF(R286&lt;&gt;0, HEX2DEC(Reverse(R286))-$I286,"")</f>
        <v>17</v>
      </c>
      <c r="L286" s="18" cm="1">
        <f t="array" ref="L286">IF(S286&lt;&gt;0, HEX2DEC(Reverse(S286))-$I286,"")</f>
        <v>123</v>
      </c>
      <c r="M286" s="18" cm="1">
        <f t="array" ref="M286">IF(T286&lt;&gt;0, HEX2DEC(Reverse(T286))-$I286,"")</f>
        <v>18</v>
      </c>
      <c r="O286" s="3">
        <v>1010100</v>
      </c>
      <c r="P286" s="3" t="s">
        <v>114</v>
      </c>
      <c r="Q286" s="3" t="s">
        <v>1189</v>
      </c>
      <c r="R286" s="19" t="s">
        <v>146</v>
      </c>
      <c r="S286" s="3" t="s">
        <v>1192</v>
      </c>
      <c r="T286" s="3" t="s">
        <v>148</v>
      </c>
      <c r="U286" s="3">
        <v>31313131</v>
      </c>
      <c r="V286" s="4" t="s">
        <v>151</v>
      </c>
    </row>
    <row r="287" spans="1:22" x14ac:dyDescent="0.2">
      <c r="A287" s="16" t="s">
        <v>375</v>
      </c>
      <c r="B287" s="16">
        <v>3119</v>
      </c>
      <c r="C287" s="15" t="s">
        <v>2</v>
      </c>
      <c r="D287" s="15" t="s">
        <v>1</v>
      </c>
      <c r="E287" s="15" t="s">
        <v>92</v>
      </c>
      <c r="F287" s="15" t="s">
        <v>96</v>
      </c>
      <c r="G287" s="15"/>
      <c r="H287" s="17" t="str" cm="1">
        <f t="array" ref="H287">Reverse2_6(O287)</f>
        <v>00-010101</v>
      </c>
      <c r="I287" s="18" cm="1">
        <f t="array" ref="I287">HEX2DEC(Reverse(P287))</f>
        <v>93631153</v>
      </c>
      <c r="J287" s="18" cm="1">
        <f t="array" ref="J287">IF(Q287&lt;&gt;0, HEX2DEC(Reverse(Q287))-$I287,"")</f>
        <v>123</v>
      </c>
      <c r="K287" s="18" cm="1">
        <f t="array" ref="K287">IF(R287&lt;&gt;0, HEX2DEC(Reverse(R287))-$I287,"")</f>
        <v>17</v>
      </c>
      <c r="L287" s="18" cm="1">
        <f t="array" ref="L287">IF(S287&lt;&gt;0, HEX2DEC(Reverse(S287))-$I287,"")</f>
        <v>124</v>
      </c>
      <c r="M287" s="18" cm="1">
        <f t="array" ref="M287">IF(T287&lt;&gt;0, HEX2DEC(Reverse(T287))-$I287,"")</f>
        <v>18</v>
      </c>
      <c r="O287" s="3">
        <v>1010100</v>
      </c>
      <c r="P287" s="3" t="s">
        <v>114</v>
      </c>
      <c r="Q287" s="3" t="s">
        <v>1192</v>
      </c>
      <c r="R287" s="19" t="s">
        <v>146</v>
      </c>
      <c r="S287" s="3" t="s">
        <v>1193</v>
      </c>
      <c r="T287" s="3" t="s">
        <v>148</v>
      </c>
      <c r="U287" s="3" t="s">
        <v>1194</v>
      </c>
      <c r="V287" s="4" t="s">
        <v>1195</v>
      </c>
    </row>
    <row r="288" spans="1:22" x14ac:dyDescent="0.2">
      <c r="A288" s="16" t="s">
        <v>376</v>
      </c>
      <c r="B288" s="16">
        <v>3120</v>
      </c>
      <c r="C288" s="15" t="s">
        <v>2</v>
      </c>
      <c r="D288" s="15" t="s">
        <v>1</v>
      </c>
      <c r="E288" s="15" t="s">
        <v>92</v>
      </c>
      <c r="F288" s="15" t="s">
        <v>849</v>
      </c>
      <c r="G288" s="15"/>
      <c r="H288" s="17" t="str" cm="1">
        <f t="array" ref="H288">Reverse2_6(O288)</f>
        <v>00-010101</v>
      </c>
      <c r="I288" s="18" cm="1">
        <f t="array" ref="I288">HEX2DEC(Reverse(P288))</f>
        <v>93631153</v>
      </c>
      <c r="J288" s="18" cm="1">
        <f t="array" ref="J288">IF(Q288&lt;&gt;0, HEX2DEC(Reverse(Q288))-$I288,"")</f>
        <v>124</v>
      </c>
      <c r="K288" s="18" cm="1">
        <f t="array" ref="K288">IF(R288&lt;&gt;0, HEX2DEC(Reverse(R288))-$I288,"")</f>
        <v>17</v>
      </c>
      <c r="L288" s="18" cm="1">
        <f t="array" ref="L288">IF(S288&lt;&gt;0, HEX2DEC(Reverse(S288))-$I288,"")</f>
        <v>125</v>
      </c>
      <c r="M288" s="18" cm="1">
        <f t="array" ref="M288">IF(T288&lt;&gt;0, HEX2DEC(Reverse(T288))-$I288,"")</f>
        <v>18</v>
      </c>
      <c r="O288" s="3">
        <v>1010100</v>
      </c>
      <c r="P288" s="3" t="s">
        <v>114</v>
      </c>
      <c r="Q288" s="3" t="s">
        <v>1193</v>
      </c>
      <c r="R288" s="19" t="s">
        <v>146</v>
      </c>
      <c r="S288" s="3" t="s">
        <v>1196</v>
      </c>
      <c r="T288" s="3" t="s">
        <v>148</v>
      </c>
      <c r="U288" s="3" t="s">
        <v>1197</v>
      </c>
      <c r="V288" s="4" t="s">
        <v>1198</v>
      </c>
    </row>
    <row r="289" spans="1:22" x14ac:dyDescent="0.2">
      <c r="A289" s="16" t="s">
        <v>377</v>
      </c>
      <c r="B289" s="16">
        <v>3121</v>
      </c>
      <c r="C289" s="15" t="s">
        <v>2</v>
      </c>
      <c r="D289" s="15" t="s">
        <v>1</v>
      </c>
      <c r="E289" s="15" t="s">
        <v>92</v>
      </c>
      <c r="F289" s="15" t="s">
        <v>96</v>
      </c>
      <c r="G289" s="15"/>
      <c r="H289" s="17" t="str" cm="1">
        <f t="array" ref="H289">Reverse2_6(O289)</f>
        <v>00-010101</v>
      </c>
      <c r="I289" s="18" cm="1">
        <f t="array" ref="I289">HEX2DEC(Reverse(P289))</f>
        <v>93631153</v>
      </c>
      <c r="J289" s="18" cm="1">
        <f t="array" ref="J289">IF(Q289&lt;&gt;0, HEX2DEC(Reverse(Q289))-$I289,"")</f>
        <v>125</v>
      </c>
      <c r="K289" s="18" cm="1">
        <f t="array" ref="K289">IF(R289&lt;&gt;0, HEX2DEC(Reverse(R289))-$I289,"")</f>
        <v>17</v>
      </c>
      <c r="L289" s="18" cm="1">
        <f t="array" ref="L289">IF(S289&lt;&gt;0, HEX2DEC(Reverse(S289))-$I289,"")</f>
        <v>126</v>
      </c>
      <c r="M289" s="18" cm="1">
        <f t="array" ref="M289">IF(T289&lt;&gt;0, HEX2DEC(Reverse(T289))-$I289,"")</f>
        <v>18</v>
      </c>
      <c r="O289" s="3">
        <v>1010100</v>
      </c>
      <c r="P289" s="3" t="s">
        <v>114</v>
      </c>
      <c r="Q289" s="3" t="s">
        <v>1196</v>
      </c>
      <c r="R289" s="19" t="s">
        <v>146</v>
      </c>
      <c r="S289" s="3" t="s">
        <v>1199</v>
      </c>
      <c r="T289" s="3" t="s">
        <v>148</v>
      </c>
      <c r="U289" s="3">
        <v>31313131</v>
      </c>
      <c r="V289" s="4" t="s">
        <v>1200</v>
      </c>
    </row>
    <row r="290" spans="1:22" x14ac:dyDescent="0.2">
      <c r="A290" s="20" t="s">
        <v>378</v>
      </c>
      <c r="B290" s="20">
        <v>3123</v>
      </c>
      <c r="C290" s="21" t="s">
        <v>1</v>
      </c>
      <c r="D290" s="21" t="s">
        <v>2</v>
      </c>
      <c r="E290" s="21" t="s">
        <v>90</v>
      </c>
      <c r="F290" s="21" t="s">
        <v>94</v>
      </c>
      <c r="G290" s="21" t="s">
        <v>1778</v>
      </c>
      <c r="H290" s="22" t="str" cm="1">
        <f t="array" ref="H290">Reverse2_6(O290)</f>
        <v>00-010201</v>
      </c>
      <c r="I290" s="45" cm="1">
        <f t="array" ref="I290">HEX2DEC(Reverse(P290))</f>
        <v>93631153</v>
      </c>
      <c r="J290" s="45" cm="1">
        <f t="array" ref="J290">IF(Q290&lt;&gt;0, HEX2DEC(Reverse(Q290))-$I290,"")</f>
        <v>17</v>
      </c>
      <c r="K290" s="45" cm="1">
        <f t="array" ref="K290">IF(R290&lt;&gt;0, HEX2DEC(Reverse(R290))-$I290,"")</f>
        <v>119</v>
      </c>
      <c r="L290" s="45" t="str" cm="1">
        <f t="array" ref="L290">IF(S290&lt;&gt;0, HEX2DEC(Reverse(S290))-$I290,"")</f>
        <v/>
      </c>
      <c r="M290" s="45" cm="1">
        <f t="array" ref="M290">IF(T290&lt;&gt;0, HEX2DEC(Reverse(T290))-$I290,"")</f>
        <v>120</v>
      </c>
      <c r="O290" s="3">
        <v>1020100</v>
      </c>
      <c r="P290" s="3" t="s">
        <v>114</v>
      </c>
      <c r="Q290" s="3" t="s">
        <v>146</v>
      </c>
      <c r="R290" s="3" t="s">
        <v>1182</v>
      </c>
      <c r="S290" s="3">
        <v>0</v>
      </c>
      <c r="T290" s="3" t="s">
        <v>1184</v>
      </c>
      <c r="U290" s="3"/>
      <c r="V290" s="4"/>
    </row>
    <row r="291" spans="1:22" x14ac:dyDescent="0.2">
      <c r="A291" s="20" t="s">
        <v>379</v>
      </c>
      <c r="B291" s="20">
        <v>3124</v>
      </c>
      <c r="C291" s="21" t="s">
        <v>1</v>
      </c>
      <c r="D291" s="21" t="s">
        <v>2</v>
      </c>
      <c r="E291" s="21" t="s">
        <v>90</v>
      </c>
      <c r="F291" s="21" t="s">
        <v>94</v>
      </c>
      <c r="G291" s="21" t="s">
        <v>1778</v>
      </c>
      <c r="H291" s="22" t="str" cm="1">
        <f t="array" ref="H291">Reverse2_6(O291)</f>
        <v>00-010201</v>
      </c>
      <c r="I291" s="45" cm="1">
        <f t="array" ref="I291">HEX2DEC(Reverse(P291))</f>
        <v>93631153</v>
      </c>
      <c r="J291" s="45" cm="1">
        <f t="array" ref="J291">IF(Q291&lt;&gt;0, HEX2DEC(Reverse(Q291))-$I291,"")</f>
        <v>17</v>
      </c>
      <c r="K291" s="45" cm="1">
        <f t="array" ref="K291">IF(R291&lt;&gt;0, HEX2DEC(Reverse(R291))-$I291,"")</f>
        <v>120</v>
      </c>
      <c r="L291" s="45" t="str" cm="1">
        <f t="array" ref="L291">IF(S291&lt;&gt;0, HEX2DEC(Reverse(S291))-$I291,"")</f>
        <v/>
      </c>
      <c r="M291" s="45" cm="1">
        <f t="array" ref="M291">IF(T291&lt;&gt;0, HEX2DEC(Reverse(T291))-$I291,"")</f>
        <v>121</v>
      </c>
      <c r="O291" s="3">
        <v>1020100</v>
      </c>
      <c r="P291" s="3" t="s">
        <v>114</v>
      </c>
      <c r="Q291" s="3" t="s">
        <v>146</v>
      </c>
      <c r="R291" s="3" t="s">
        <v>1184</v>
      </c>
      <c r="S291" s="3">
        <v>0</v>
      </c>
      <c r="T291" s="3" t="s">
        <v>1186</v>
      </c>
      <c r="U291" s="3"/>
      <c r="V291" s="4"/>
    </row>
    <row r="292" spans="1:22" x14ac:dyDescent="0.2">
      <c r="A292" s="20" t="s">
        <v>380</v>
      </c>
      <c r="B292" s="20">
        <v>3125</v>
      </c>
      <c r="C292" s="21" t="s">
        <v>1</v>
      </c>
      <c r="D292" s="21" t="s">
        <v>2</v>
      </c>
      <c r="E292" s="21" t="s">
        <v>90</v>
      </c>
      <c r="F292" s="21" t="s">
        <v>94</v>
      </c>
      <c r="G292" s="21" t="s">
        <v>1778</v>
      </c>
      <c r="H292" s="22" t="str" cm="1">
        <f t="array" ref="H292">Reverse2_6(O292)</f>
        <v>00-010201</v>
      </c>
      <c r="I292" s="45" cm="1">
        <f t="array" ref="I292">HEX2DEC(Reverse(P292))</f>
        <v>93631153</v>
      </c>
      <c r="J292" s="45" cm="1">
        <f t="array" ref="J292">IF(Q292&lt;&gt;0, HEX2DEC(Reverse(Q292))-$I292,"")</f>
        <v>17</v>
      </c>
      <c r="K292" s="45" cm="1">
        <f t="array" ref="K292">IF(R292&lt;&gt;0, HEX2DEC(Reverse(R292))-$I292,"")</f>
        <v>121</v>
      </c>
      <c r="L292" s="45" t="str" cm="1">
        <f t="array" ref="L292">IF(S292&lt;&gt;0, HEX2DEC(Reverse(S292))-$I292,"")</f>
        <v/>
      </c>
      <c r="M292" s="45" cm="1">
        <f t="array" ref="M292">IF(T292&lt;&gt;0, HEX2DEC(Reverse(T292))-$I292,"")</f>
        <v>122</v>
      </c>
      <c r="O292" s="3">
        <v>1020100</v>
      </c>
      <c r="P292" s="3" t="s">
        <v>114</v>
      </c>
      <c r="Q292" s="3" t="s">
        <v>146</v>
      </c>
      <c r="R292" s="3" t="s">
        <v>1186</v>
      </c>
      <c r="S292" s="3">
        <v>0</v>
      </c>
      <c r="T292" s="3" t="s">
        <v>1189</v>
      </c>
      <c r="U292" s="3"/>
      <c r="V292" s="4"/>
    </row>
    <row r="293" spans="1:22" x14ac:dyDescent="0.2">
      <c r="A293" s="20" t="s">
        <v>381</v>
      </c>
      <c r="B293" s="20">
        <v>3126</v>
      </c>
      <c r="C293" s="21" t="s">
        <v>1</v>
      </c>
      <c r="D293" s="21" t="s">
        <v>2</v>
      </c>
      <c r="E293" s="21" t="s">
        <v>90</v>
      </c>
      <c r="F293" s="21" t="s">
        <v>94</v>
      </c>
      <c r="G293" s="21" t="s">
        <v>1778</v>
      </c>
      <c r="H293" s="22" t="str" cm="1">
        <f t="array" ref="H293">Reverse2_6(O293)</f>
        <v>00-010201</v>
      </c>
      <c r="I293" s="45" cm="1">
        <f t="array" ref="I293">HEX2DEC(Reverse(P293))</f>
        <v>93631153</v>
      </c>
      <c r="J293" s="45" cm="1">
        <f t="array" ref="J293">IF(Q293&lt;&gt;0, HEX2DEC(Reverse(Q293))-$I293,"")</f>
        <v>17</v>
      </c>
      <c r="K293" s="45" cm="1">
        <f t="array" ref="K293">IF(R293&lt;&gt;0, HEX2DEC(Reverse(R293))-$I293,"")</f>
        <v>122</v>
      </c>
      <c r="L293" s="45" t="str" cm="1">
        <f t="array" ref="L293">IF(S293&lt;&gt;0, HEX2DEC(Reverse(S293))-$I293,"")</f>
        <v/>
      </c>
      <c r="M293" s="45" cm="1">
        <f t="array" ref="M293">IF(T293&lt;&gt;0, HEX2DEC(Reverse(T293))-$I293,"")</f>
        <v>123</v>
      </c>
      <c r="O293" s="3">
        <v>1020100</v>
      </c>
      <c r="P293" s="3" t="s">
        <v>114</v>
      </c>
      <c r="Q293" s="3" t="s">
        <v>146</v>
      </c>
      <c r="R293" s="3" t="s">
        <v>1189</v>
      </c>
      <c r="S293" s="3">
        <v>0</v>
      </c>
      <c r="T293" s="3" t="s">
        <v>1192</v>
      </c>
      <c r="U293" s="3"/>
      <c r="V293" s="4"/>
    </row>
    <row r="294" spans="1:22" x14ac:dyDescent="0.2">
      <c r="A294" s="20" t="s">
        <v>382</v>
      </c>
      <c r="B294" s="20">
        <v>3127</v>
      </c>
      <c r="C294" s="21" t="s">
        <v>1</v>
      </c>
      <c r="D294" s="21" t="s">
        <v>2</v>
      </c>
      <c r="E294" s="21" t="s">
        <v>90</v>
      </c>
      <c r="F294" s="21" t="s">
        <v>94</v>
      </c>
      <c r="G294" s="21" t="s">
        <v>1778</v>
      </c>
      <c r="H294" s="22" t="str" cm="1">
        <f t="array" ref="H294">Reverse2_6(O294)</f>
        <v>00-010201</v>
      </c>
      <c r="I294" s="45" cm="1">
        <f t="array" ref="I294">HEX2DEC(Reverse(P294))</f>
        <v>93631153</v>
      </c>
      <c r="J294" s="45" cm="1">
        <f t="array" ref="J294">IF(Q294&lt;&gt;0, HEX2DEC(Reverse(Q294))-$I294,"")</f>
        <v>17</v>
      </c>
      <c r="K294" s="45" cm="1">
        <f t="array" ref="K294">IF(R294&lt;&gt;0, HEX2DEC(Reverse(R294))-$I294,"")</f>
        <v>123</v>
      </c>
      <c r="L294" s="45" t="str" cm="1">
        <f t="array" ref="L294">IF(S294&lt;&gt;0, HEX2DEC(Reverse(S294))-$I294,"")</f>
        <v/>
      </c>
      <c r="M294" s="45" cm="1">
        <f t="array" ref="M294">IF(T294&lt;&gt;0, HEX2DEC(Reverse(T294))-$I294,"")</f>
        <v>124</v>
      </c>
      <c r="O294" s="3">
        <v>1020100</v>
      </c>
      <c r="P294" s="3" t="s">
        <v>114</v>
      </c>
      <c r="Q294" s="3" t="s">
        <v>146</v>
      </c>
      <c r="R294" s="3" t="s">
        <v>1192</v>
      </c>
      <c r="S294" s="3">
        <v>0</v>
      </c>
      <c r="T294" s="3" t="s">
        <v>1193</v>
      </c>
      <c r="U294" s="3"/>
      <c r="V294" s="4"/>
    </row>
    <row r="295" spans="1:22" x14ac:dyDescent="0.2">
      <c r="A295" s="20" t="s">
        <v>383</v>
      </c>
      <c r="B295" s="20">
        <v>3128</v>
      </c>
      <c r="C295" s="21" t="s">
        <v>1</v>
      </c>
      <c r="D295" s="21" t="s">
        <v>2</v>
      </c>
      <c r="E295" s="21" t="s">
        <v>90</v>
      </c>
      <c r="F295" s="21" t="s">
        <v>94</v>
      </c>
      <c r="G295" s="21" t="s">
        <v>1778</v>
      </c>
      <c r="H295" s="22" t="str" cm="1">
        <f t="array" ref="H295">Reverse2_6(O295)</f>
        <v>00-010201</v>
      </c>
      <c r="I295" s="45" cm="1">
        <f t="array" ref="I295">HEX2DEC(Reverse(P295))</f>
        <v>93631153</v>
      </c>
      <c r="J295" s="45" cm="1">
        <f t="array" ref="J295">IF(Q295&lt;&gt;0, HEX2DEC(Reverse(Q295))-$I295,"")</f>
        <v>17</v>
      </c>
      <c r="K295" s="45" cm="1">
        <f t="array" ref="K295">IF(R295&lt;&gt;0, HEX2DEC(Reverse(R295))-$I295,"")</f>
        <v>124</v>
      </c>
      <c r="L295" s="45" t="str" cm="1">
        <f t="array" ref="L295">IF(S295&lt;&gt;0, HEX2DEC(Reverse(S295))-$I295,"")</f>
        <v/>
      </c>
      <c r="M295" s="45" cm="1">
        <f t="array" ref="M295">IF(T295&lt;&gt;0, HEX2DEC(Reverse(T295))-$I295,"")</f>
        <v>125</v>
      </c>
      <c r="O295" s="3">
        <v>1020100</v>
      </c>
      <c r="P295" s="3" t="s">
        <v>114</v>
      </c>
      <c r="Q295" s="3" t="s">
        <v>146</v>
      </c>
      <c r="R295" s="3" t="s">
        <v>1193</v>
      </c>
      <c r="S295" s="3">
        <v>0</v>
      </c>
      <c r="T295" s="3" t="s">
        <v>1196</v>
      </c>
      <c r="U295" s="3"/>
      <c r="V295" s="4"/>
    </row>
    <row r="296" spans="1:22" x14ac:dyDescent="0.2">
      <c r="A296" s="20" t="s">
        <v>384</v>
      </c>
      <c r="B296" s="20">
        <v>3129</v>
      </c>
      <c r="C296" s="21" t="s">
        <v>1</v>
      </c>
      <c r="D296" s="21" t="s">
        <v>2</v>
      </c>
      <c r="E296" s="21" t="s">
        <v>90</v>
      </c>
      <c r="F296" s="21" t="s">
        <v>94</v>
      </c>
      <c r="G296" s="21" t="s">
        <v>1778</v>
      </c>
      <c r="H296" s="22" t="str" cm="1">
        <f t="array" ref="H296">Reverse2_6(O296)</f>
        <v>00-010201</v>
      </c>
      <c r="I296" s="45" cm="1">
        <f t="array" ref="I296">HEX2DEC(Reverse(P296))</f>
        <v>93631153</v>
      </c>
      <c r="J296" s="45" cm="1">
        <f t="array" ref="J296">IF(Q296&lt;&gt;0, HEX2DEC(Reverse(Q296))-$I296,"")</f>
        <v>17</v>
      </c>
      <c r="K296" s="45" cm="1">
        <f t="array" ref="K296">IF(R296&lt;&gt;0, HEX2DEC(Reverse(R296))-$I296,"")</f>
        <v>125</v>
      </c>
      <c r="L296" s="45" t="str" cm="1">
        <f t="array" ref="L296">IF(S296&lt;&gt;0, HEX2DEC(Reverse(S296))-$I296,"")</f>
        <v/>
      </c>
      <c r="M296" s="45" cm="1">
        <f t="array" ref="M296">IF(T296&lt;&gt;0, HEX2DEC(Reverse(T296))-$I296,"")</f>
        <v>126</v>
      </c>
      <c r="O296" s="3">
        <v>1020100</v>
      </c>
      <c r="P296" s="3" t="s">
        <v>114</v>
      </c>
      <c r="Q296" s="3" t="s">
        <v>146</v>
      </c>
      <c r="R296" s="3" t="s">
        <v>1196</v>
      </c>
      <c r="S296" s="3">
        <v>0</v>
      </c>
      <c r="T296" s="3" t="s">
        <v>1199</v>
      </c>
      <c r="U296" s="3"/>
      <c r="V296" s="4"/>
    </row>
    <row r="297" spans="1:22" x14ac:dyDescent="0.2">
      <c r="A297" s="16" t="s">
        <v>385</v>
      </c>
      <c r="B297" s="16">
        <v>3134</v>
      </c>
      <c r="C297" s="15" t="s">
        <v>2</v>
      </c>
      <c r="D297" s="15" t="s">
        <v>1</v>
      </c>
      <c r="E297" s="15" t="s">
        <v>92</v>
      </c>
      <c r="F297" s="15" t="s">
        <v>96</v>
      </c>
      <c r="G297" s="15"/>
      <c r="H297" s="17" t="str" cm="1">
        <f t="array" ref="H297">Reverse2_6(O297)</f>
        <v>00-010101</v>
      </c>
      <c r="I297" s="18" cm="1">
        <f t="array" ref="I297">HEX2DEC(Reverse(P297))</f>
        <v>93631153</v>
      </c>
      <c r="J297" s="18" cm="1">
        <f t="array" ref="J297">IF(Q297&lt;&gt;0, HEX2DEC(Reverse(Q297))-$I297,"")</f>
        <v>126</v>
      </c>
      <c r="K297" s="18" cm="1">
        <f t="array" ref="K297">IF(R297&lt;&gt;0, HEX2DEC(Reverse(R297))-$I297,"")</f>
        <v>17</v>
      </c>
      <c r="L297" s="18" cm="1">
        <f t="array" ref="L297">IF(S297&lt;&gt;0, HEX2DEC(Reverse(S297))-$I297,"")</f>
        <v>127</v>
      </c>
      <c r="M297" s="18" cm="1">
        <f t="array" ref="M297">IF(T297&lt;&gt;0, HEX2DEC(Reverse(T297))-$I297,"")</f>
        <v>18</v>
      </c>
      <c r="O297" s="3">
        <v>1010100</v>
      </c>
      <c r="P297" s="3" t="s">
        <v>114</v>
      </c>
      <c r="Q297" s="3" t="s">
        <v>1199</v>
      </c>
      <c r="R297" s="19" t="s">
        <v>146</v>
      </c>
      <c r="S297" s="3" t="s">
        <v>1201</v>
      </c>
      <c r="T297" s="3" t="s">
        <v>148</v>
      </c>
      <c r="U297" s="3" t="s">
        <v>1202</v>
      </c>
      <c r="V297" s="4" t="s">
        <v>1203</v>
      </c>
    </row>
    <row r="298" spans="1:22" x14ac:dyDescent="0.2">
      <c r="A298" s="20" t="s">
        <v>386</v>
      </c>
      <c r="B298" s="20">
        <v>3135</v>
      </c>
      <c r="C298" s="21" t="s">
        <v>1</v>
      </c>
      <c r="D298" s="21" t="s">
        <v>2</v>
      </c>
      <c r="E298" s="21" t="s">
        <v>90</v>
      </c>
      <c r="F298" s="21" t="s">
        <v>94</v>
      </c>
      <c r="G298" s="21" t="s">
        <v>1778</v>
      </c>
      <c r="H298" s="22" t="str" cm="1">
        <f t="array" ref="H298">Reverse2_6(O298)</f>
        <v>00-010201</v>
      </c>
      <c r="I298" s="45" cm="1">
        <f t="array" ref="I298">HEX2DEC(Reverse(P298))</f>
        <v>93631153</v>
      </c>
      <c r="J298" s="45" cm="1">
        <f t="array" ref="J298">IF(Q298&lt;&gt;0, HEX2DEC(Reverse(Q298))-$I298,"")</f>
        <v>17</v>
      </c>
      <c r="K298" s="45" cm="1">
        <f t="array" ref="K298">IF(R298&lt;&gt;0, HEX2DEC(Reverse(R298))-$I298,"")</f>
        <v>126</v>
      </c>
      <c r="L298" s="45" t="str" cm="1">
        <f t="array" ref="L298">IF(S298&lt;&gt;0, HEX2DEC(Reverse(S298))-$I298,"")</f>
        <v/>
      </c>
      <c r="M298" s="45" cm="1">
        <f t="array" ref="M298">IF(T298&lt;&gt;0, HEX2DEC(Reverse(T298))-$I298,"")</f>
        <v>127</v>
      </c>
      <c r="O298" s="3">
        <v>1020100</v>
      </c>
      <c r="P298" s="3" t="s">
        <v>114</v>
      </c>
      <c r="Q298" s="3" t="s">
        <v>146</v>
      </c>
      <c r="R298" s="3" t="s">
        <v>1199</v>
      </c>
      <c r="S298" s="3">
        <v>0</v>
      </c>
      <c r="T298" s="3" t="s">
        <v>1201</v>
      </c>
      <c r="U298" s="3"/>
      <c r="V298" s="4"/>
    </row>
    <row r="299" spans="1:22" x14ac:dyDescent="0.2">
      <c r="A299" s="16" t="s">
        <v>387</v>
      </c>
      <c r="B299" s="16">
        <v>3136</v>
      </c>
      <c r="C299" s="15" t="s">
        <v>2</v>
      </c>
      <c r="D299" s="15" t="s">
        <v>1</v>
      </c>
      <c r="E299" s="15" t="s">
        <v>92</v>
      </c>
      <c r="F299" s="15" t="s">
        <v>850</v>
      </c>
      <c r="G299" s="15"/>
      <c r="H299" s="17" t="str" cm="1">
        <f t="array" ref="H299">Reverse2_6(O299)</f>
        <v>00-010101</v>
      </c>
      <c r="I299" s="18" cm="1">
        <f t="array" ref="I299">HEX2DEC(Reverse(P299))</f>
        <v>93631153</v>
      </c>
      <c r="J299" s="18" cm="1">
        <f t="array" ref="J299">IF(Q299&lt;&gt;0, HEX2DEC(Reverse(Q299))-$I299,"")</f>
        <v>127</v>
      </c>
      <c r="K299" s="18" cm="1">
        <f t="array" ref="K299">IF(R299&lt;&gt;0, HEX2DEC(Reverse(R299))-$I299,"")</f>
        <v>17</v>
      </c>
      <c r="L299" s="18" cm="1">
        <f t="array" ref="L299">IF(S299&lt;&gt;0, HEX2DEC(Reverse(S299))-$I299,"")</f>
        <v>128</v>
      </c>
      <c r="M299" s="18" cm="1">
        <f t="array" ref="M299">IF(T299&lt;&gt;0, HEX2DEC(Reverse(T299))-$I299,"")</f>
        <v>18</v>
      </c>
      <c r="O299" s="3">
        <v>1010100</v>
      </c>
      <c r="P299" s="3" t="s">
        <v>114</v>
      </c>
      <c r="Q299" s="3" t="s">
        <v>1201</v>
      </c>
      <c r="R299" s="19" t="s">
        <v>146</v>
      </c>
      <c r="S299" s="3" t="s">
        <v>1204</v>
      </c>
      <c r="T299" s="3" t="s">
        <v>148</v>
      </c>
      <c r="U299" s="3" t="s">
        <v>1205</v>
      </c>
      <c r="V299" s="4" t="s">
        <v>1206</v>
      </c>
    </row>
    <row r="300" spans="1:22" x14ac:dyDescent="0.2">
      <c r="A300" s="16" t="s">
        <v>388</v>
      </c>
      <c r="B300" s="16">
        <v>3137</v>
      </c>
      <c r="C300" s="15" t="s">
        <v>2</v>
      </c>
      <c r="D300" s="15" t="s">
        <v>1</v>
      </c>
      <c r="E300" s="15" t="s">
        <v>92</v>
      </c>
      <c r="F300" s="15" t="s">
        <v>96</v>
      </c>
      <c r="G300" s="15"/>
      <c r="H300" s="17" t="str" cm="1">
        <f t="array" ref="H300">Reverse2_6(O300)</f>
        <v>00-010101</v>
      </c>
      <c r="I300" s="18" cm="1">
        <f t="array" ref="I300">HEX2DEC(Reverse(P300))</f>
        <v>93631153</v>
      </c>
      <c r="J300" s="18" cm="1">
        <f t="array" ref="J300">IF(Q300&lt;&gt;0, HEX2DEC(Reverse(Q300))-$I300,"")</f>
        <v>128</v>
      </c>
      <c r="K300" s="18" cm="1">
        <f t="array" ref="K300">IF(R300&lt;&gt;0, HEX2DEC(Reverse(R300))-$I300,"")</f>
        <v>17</v>
      </c>
      <c r="L300" s="18" cm="1">
        <f t="array" ref="L300">IF(S300&lt;&gt;0, HEX2DEC(Reverse(S300))-$I300,"")</f>
        <v>129</v>
      </c>
      <c r="M300" s="18" cm="1">
        <f t="array" ref="M300">IF(T300&lt;&gt;0, HEX2DEC(Reverse(T300))-$I300,"")</f>
        <v>18</v>
      </c>
      <c r="O300" s="3">
        <v>1010100</v>
      </c>
      <c r="P300" s="3" t="s">
        <v>114</v>
      </c>
      <c r="Q300" s="3" t="s">
        <v>1204</v>
      </c>
      <c r="R300" s="19" t="s">
        <v>146</v>
      </c>
      <c r="S300" s="3" t="s">
        <v>1207</v>
      </c>
      <c r="T300" s="3" t="s">
        <v>148</v>
      </c>
      <c r="U300" s="3">
        <v>31313131</v>
      </c>
      <c r="V300" s="4" t="s">
        <v>141</v>
      </c>
    </row>
    <row r="301" spans="1:22" x14ac:dyDescent="0.2">
      <c r="A301" s="16" t="s">
        <v>389</v>
      </c>
      <c r="B301" s="16">
        <v>3138</v>
      </c>
      <c r="C301" s="15" t="s">
        <v>2</v>
      </c>
      <c r="D301" s="15" t="s">
        <v>1</v>
      </c>
      <c r="E301" s="15" t="s">
        <v>92</v>
      </c>
      <c r="F301" s="15" t="s">
        <v>96</v>
      </c>
      <c r="G301" s="15"/>
      <c r="H301" s="17" t="str" cm="1">
        <f t="array" ref="H301">Reverse2_6(O301)</f>
        <v>00-010101</v>
      </c>
      <c r="I301" s="18" cm="1">
        <f t="array" ref="I301">HEX2DEC(Reverse(P301))</f>
        <v>93631153</v>
      </c>
      <c r="J301" s="18" cm="1">
        <f t="array" ref="J301">IF(Q301&lt;&gt;0, HEX2DEC(Reverse(Q301))-$I301,"")</f>
        <v>129</v>
      </c>
      <c r="K301" s="18" cm="1">
        <f t="array" ref="K301">IF(R301&lt;&gt;0, HEX2DEC(Reverse(R301))-$I301,"")</f>
        <v>17</v>
      </c>
      <c r="L301" s="18" cm="1">
        <f t="array" ref="L301">IF(S301&lt;&gt;0, HEX2DEC(Reverse(S301))-$I301,"")</f>
        <v>130</v>
      </c>
      <c r="M301" s="18" cm="1">
        <f t="array" ref="M301">IF(T301&lt;&gt;0, HEX2DEC(Reverse(T301))-$I301,"")</f>
        <v>18</v>
      </c>
      <c r="O301" s="3">
        <v>1010100</v>
      </c>
      <c r="P301" s="3" t="s">
        <v>114</v>
      </c>
      <c r="Q301" s="3" t="s">
        <v>1207</v>
      </c>
      <c r="R301" s="19" t="s">
        <v>146</v>
      </c>
      <c r="S301" s="3" t="s">
        <v>1208</v>
      </c>
      <c r="T301" s="3" t="s">
        <v>148</v>
      </c>
      <c r="U301" s="3" t="s">
        <v>143</v>
      </c>
      <c r="V301" s="4" t="s">
        <v>144</v>
      </c>
    </row>
    <row r="302" spans="1:22" x14ac:dyDescent="0.2">
      <c r="A302" s="16" t="s">
        <v>390</v>
      </c>
      <c r="B302" s="16">
        <v>3139</v>
      </c>
      <c r="C302" s="15" t="s">
        <v>2</v>
      </c>
      <c r="D302" s="15" t="s">
        <v>1</v>
      </c>
      <c r="E302" s="15" t="s">
        <v>92</v>
      </c>
      <c r="F302" s="15" t="s">
        <v>96</v>
      </c>
      <c r="G302" s="15"/>
      <c r="H302" s="17" t="str" cm="1">
        <f t="array" ref="H302">Reverse2_6(O302)</f>
        <v>00-010101</v>
      </c>
      <c r="I302" s="18" cm="1">
        <f t="array" ref="I302">HEX2DEC(Reverse(P302))</f>
        <v>93631153</v>
      </c>
      <c r="J302" s="18" cm="1">
        <f t="array" ref="J302">IF(Q302&lt;&gt;0, HEX2DEC(Reverse(Q302))-$I302,"")</f>
        <v>130</v>
      </c>
      <c r="K302" s="18" cm="1">
        <f t="array" ref="K302">IF(R302&lt;&gt;0, HEX2DEC(Reverse(R302))-$I302,"")</f>
        <v>17</v>
      </c>
      <c r="L302" s="18" cm="1">
        <f t="array" ref="L302">IF(S302&lt;&gt;0, HEX2DEC(Reverse(S302))-$I302,"")</f>
        <v>131</v>
      </c>
      <c r="M302" s="18" cm="1">
        <f t="array" ref="M302">IF(T302&lt;&gt;0, HEX2DEC(Reverse(T302))-$I302,"")</f>
        <v>18</v>
      </c>
      <c r="O302" s="3">
        <v>1010100</v>
      </c>
      <c r="P302" s="3" t="s">
        <v>114</v>
      </c>
      <c r="Q302" s="3" t="s">
        <v>1208</v>
      </c>
      <c r="R302" s="19" t="s">
        <v>146</v>
      </c>
      <c r="S302" s="3" t="s">
        <v>1209</v>
      </c>
      <c r="T302" s="3" t="s">
        <v>148</v>
      </c>
      <c r="U302" s="3" t="s">
        <v>1210</v>
      </c>
      <c r="V302" s="4" t="s">
        <v>1211</v>
      </c>
    </row>
    <row r="303" spans="1:22" x14ac:dyDescent="0.2">
      <c r="A303" s="16" t="s">
        <v>391</v>
      </c>
      <c r="B303" s="16">
        <v>3140</v>
      </c>
      <c r="C303" s="15" t="s">
        <v>2</v>
      </c>
      <c r="D303" s="15" t="s">
        <v>1</v>
      </c>
      <c r="E303" s="15" t="s">
        <v>92</v>
      </c>
      <c r="F303" s="15" t="s">
        <v>851</v>
      </c>
      <c r="G303" s="15"/>
      <c r="H303" s="17" t="str" cm="1">
        <f t="array" ref="H303">Reverse2_6(O303)</f>
        <v>00-010101</v>
      </c>
      <c r="I303" s="18" cm="1">
        <f t="array" ref="I303">HEX2DEC(Reverse(P303))</f>
        <v>93631153</v>
      </c>
      <c r="J303" s="18" cm="1">
        <f t="array" ref="J303">IF(Q303&lt;&gt;0, HEX2DEC(Reverse(Q303))-$I303,"")</f>
        <v>131</v>
      </c>
      <c r="K303" s="18" cm="1">
        <f t="array" ref="K303">IF(R303&lt;&gt;0, HEX2DEC(Reverse(R303))-$I303,"")</f>
        <v>17</v>
      </c>
      <c r="L303" s="18" cm="1">
        <f t="array" ref="L303">IF(S303&lt;&gt;0, HEX2DEC(Reverse(S303))-$I303,"")</f>
        <v>132</v>
      </c>
      <c r="M303" s="18" cm="1">
        <f t="array" ref="M303">IF(T303&lt;&gt;0, HEX2DEC(Reverse(T303))-$I303,"")</f>
        <v>18</v>
      </c>
      <c r="O303" s="3">
        <v>1010100</v>
      </c>
      <c r="P303" s="3" t="s">
        <v>114</v>
      </c>
      <c r="Q303" s="3" t="s">
        <v>1209</v>
      </c>
      <c r="R303" s="19" t="s">
        <v>146</v>
      </c>
      <c r="S303" s="3" t="s">
        <v>1212</v>
      </c>
      <c r="T303" s="3" t="s">
        <v>148</v>
      </c>
      <c r="U303" s="3" t="s">
        <v>1213</v>
      </c>
      <c r="V303" s="4" t="s">
        <v>1214</v>
      </c>
    </row>
    <row r="304" spans="1:22" x14ac:dyDescent="0.2">
      <c r="A304" s="20" t="s">
        <v>392</v>
      </c>
      <c r="B304" s="20">
        <v>3141</v>
      </c>
      <c r="C304" s="21" t="s">
        <v>1</v>
      </c>
      <c r="D304" s="21" t="s">
        <v>2</v>
      </c>
      <c r="E304" s="21" t="s">
        <v>90</v>
      </c>
      <c r="F304" s="21" t="s">
        <v>94</v>
      </c>
      <c r="G304" s="21" t="s">
        <v>1778</v>
      </c>
      <c r="H304" s="22" t="str" cm="1">
        <f t="array" ref="H304">Reverse2_6(O304)</f>
        <v>00-010201</v>
      </c>
      <c r="I304" s="45" cm="1">
        <f t="array" ref="I304">HEX2DEC(Reverse(P304))</f>
        <v>93631153</v>
      </c>
      <c r="J304" s="45" cm="1">
        <f t="array" ref="J304">IF(Q304&lt;&gt;0, HEX2DEC(Reverse(Q304))-$I304,"")</f>
        <v>17</v>
      </c>
      <c r="K304" s="45" cm="1">
        <f t="array" ref="K304">IF(R304&lt;&gt;0, HEX2DEC(Reverse(R304))-$I304,"")</f>
        <v>127</v>
      </c>
      <c r="L304" s="45" t="str" cm="1">
        <f t="array" ref="L304">IF(S304&lt;&gt;0, HEX2DEC(Reverse(S304))-$I304,"")</f>
        <v/>
      </c>
      <c r="M304" s="45" cm="1">
        <f t="array" ref="M304">IF(T304&lt;&gt;0, HEX2DEC(Reverse(T304))-$I304,"")</f>
        <v>128</v>
      </c>
      <c r="O304" s="3">
        <v>1020100</v>
      </c>
      <c r="P304" s="3" t="s">
        <v>114</v>
      </c>
      <c r="Q304" s="3" t="s">
        <v>146</v>
      </c>
      <c r="R304" s="3" t="s">
        <v>1201</v>
      </c>
      <c r="S304" s="3">
        <v>0</v>
      </c>
      <c r="T304" s="3" t="s">
        <v>1204</v>
      </c>
      <c r="U304" s="3"/>
      <c r="V304" s="4"/>
    </row>
    <row r="305" spans="1:22" x14ac:dyDescent="0.2">
      <c r="A305" s="20" t="s">
        <v>393</v>
      </c>
      <c r="B305" s="20">
        <v>3142</v>
      </c>
      <c r="C305" s="21" t="s">
        <v>1</v>
      </c>
      <c r="D305" s="21" t="s">
        <v>2</v>
      </c>
      <c r="E305" s="21" t="s">
        <v>90</v>
      </c>
      <c r="F305" s="21" t="s">
        <v>94</v>
      </c>
      <c r="G305" s="21" t="s">
        <v>1778</v>
      </c>
      <c r="H305" s="22" t="str" cm="1">
        <f t="array" ref="H305">Reverse2_6(O305)</f>
        <v>00-010201</v>
      </c>
      <c r="I305" s="45" cm="1">
        <f t="array" ref="I305">HEX2DEC(Reverse(P305))</f>
        <v>93631153</v>
      </c>
      <c r="J305" s="45" cm="1">
        <f t="array" ref="J305">IF(Q305&lt;&gt;0, HEX2DEC(Reverse(Q305))-$I305,"")</f>
        <v>17</v>
      </c>
      <c r="K305" s="45" cm="1">
        <f t="array" ref="K305">IF(R305&lt;&gt;0, HEX2DEC(Reverse(R305))-$I305,"")</f>
        <v>128</v>
      </c>
      <c r="L305" s="45" t="str" cm="1">
        <f t="array" ref="L305">IF(S305&lt;&gt;0, HEX2DEC(Reverse(S305))-$I305,"")</f>
        <v/>
      </c>
      <c r="M305" s="45" cm="1">
        <f t="array" ref="M305">IF(T305&lt;&gt;0, HEX2DEC(Reverse(T305))-$I305,"")</f>
        <v>129</v>
      </c>
      <c r="O305" s="3">
        <v>1020100</v>
      </c>
      <c r="P305" s="3" t="s">
        <v>114</v>
      </c>
      <c r="Q305" s="3" t="s">
        <v>146</v>
      </c>
      <c r="R305" s="3" t="s">
        <v>1204</v>
      </c>
      <c r="S305" s="3">
        <v>0</v>
      </c>
      <c r="T305" s="3" t="s">
        <v>1207</v>
      </c>
      <c r="U305" s="3"/>
      <c r="V305" s="4"/>
    </row>
    <row r="306" spans="1:22" x14ac:dyDescent="0.2">
      <c r="A306" s="20" t="s">
        <v>394</v>
      </c>
      <c r="B306" s="20">
        <v>3143</v>
      </c>
      <c r="C306" s="21" t="s">
        <v>1</v>
      </c>
      <c r="D306" s="21" t="s">
        <v>2</v>
      </c>
      <c r="E306" s="21" t="s">
        <v>90</v>
      </c>
      <c r="F306" s="21" t="s">
        <v>94</v>
      </c>
      <c r="G306" s="21" t="s">
        <v>1778</v>
      </c>
      <c r="H306" s="22" t="str" cm="1">
        <f t="array" ref="H306">Reverse2_6(O306)</f>
        <v>00-010201</v>
      </c>
      <c r="I306" s="45" cm="1">
        <f t="array" ref="I306">HEX2DEC(Reverse(P306))</f>
        <v>93631153</v>
      </c>
      <c r="J306" s="45" cm="1">
        <f t="array" ref="J306">IF(Q306&lt;&gt;0, HEX2DEC(Reverse(Q306))-$I306,"")</f>
        <v>17</v>
      </c>
      <c r="K306" s="45" cm="1">
        <f t="array" ref="K306">IF(R306&lt;&gt;0, HEX2DEC(Reverse(R306))-$I306,"")</f>
        <v>129</v>
      </c>
      <c r="L306" s="45" t="str" cm="1">
        <f t="array" ref="L306">IF(S306&lt;&gt;0, HEX2DEC(Reverse(S306))-$I306,"")</f>
        <v/>
      </c>
      <c r="M306" s="45" cm="1">
        <f t="array" ref="M306">IF(T306&lt;&gt;0, HEX2DEC(Reverse(T306))-$I306,"")</f>
        <v>130</v>
      </c>
      <c r="O306" s="3">
        <v>1020100</v>
      </c>
      <c r="P306" s="3" t="s">
        <v>114</v>
      </c>
      <c r="Q306" s="3" t="s">
        <v>146</v>
      </c>
      <c r="R306" s="3" t="s">
        <v>1207</v>
      </c>
      <c r="S306" s="3">
        <v>0</v>
      </c>
      <c r="T306" s="3" t="s">
        <v>1208</v>
      </c>
      <c r="U306" s="3"/>
      <c r="V306" s="4"/>
    </row>
    <row r="307" spans="1:22" x14ac:dyDescent="0.2">
      <c r="A307" s="20" t="s">
        <v>395</v>
      </c>
      <c r="B307" s="20">
        <v>3144</v>
      </c>
      <c r="C307" s="21" t="s">
        <v>1</v>
      </c>
      <c r="D307" s="21" t="s">
        <v>2</v>
      </c>
      <c r="E307" s="21" t="s">
        <v>90</v>
      </c>
      <c r="F307" s="21" t="s">
        <v>94</v>
      </c>
      <c r="G307" s="21" t="s">
        <v>1778</v>
      </c>
      <c r="H307" s="22" t="str" cm="1">
        <f t="array" ref="H307">Reverse2_6(O307)</f>
        <v>00-010201</v>
      </c>
      <c r="I307" s="45" cm="1">
        <f t="array" ref="I307">HEX2DEC(Reverse(P307))</f>
        <v>93631153</v>
      </c>
      <c r="J307" s="45" cm="1">
        <f t="array" ref="J307">IF(Q307&lt;&gt;0, HEX2DEC(Reverse(Q307))-$I307,"")</f>
        <v>17</v>
      </c>
      <c r="K307" s="45" cm="1">
        <f t="array" ref="K307">IF(R307&lt;&gt;0, HEX2DEC(Reverse(R307))-$I307,"")</f>
        <v>130</v>
      </c>
      <c r="L307" s="45" t="str" cm="1">
        <f t="array" ref="L307">IF(S307&lt;&gt;0, HEX2DEC(Reverse(S307))-$I307,"")</f>
        <v/>
      </c>
      <c r="M307" s="45" cm="1">
        <f t="array" ref="M307">IF(T307&lt;&gt;0, HEX2DEC(Reverse(T307))-$I307,"")</f>
        <v>131</v>
      </c>
      <c r="O307" s="3">
        <v>1020100</v>
      </c>
      <c r="P307" s="3" t="s">
        <v>114</v>
      </c>
      <c r="Q307" s="3" t="s">
        <v>146</v>
      </c>
      <c r="R307" s="3" t="s">
        <v>1208</v>
      </c>
      <c r="S307" s="3">
        <v>0</v>
      </c>
      <c r="T307" s="3" t="s">
        <v>1209</v>
      </c>
      <c r="U307" s="3"/>
      <c r="V307" s="4"/>
    </row>
    <row r="308" spans="1:22" x14ac:dyDescent="0.2">
      <c r="A308" s="20" t="s">
        <v>396</v>
      </c>
      <c r="B308" s="20">
        <v>3145</v>
      </c>
      <c r="C308" s="21" t="s">
        <v>1</v>
      </c>
      <c r="D308" s="21" t="s">
        <v>2</v>
      </c>
      <c r="E308" s="21" t="s">
        <v>90</v>
      </c>
      <c r="F308" s="21" t="s">
        <v>94</v>
      </c>
      <c r="G308" s="21" t="s">
        <v>1778</v>
      </c>
      <c r="H308" s="22" t="str" cm="1">
        <f t="array" ref="H308">Reverse2_6(O308)</f>
        <v>00-010201</v>
      </c>
      <c r="I308" s="45" cm="1">
        <f t="array" ref="I308">HEX2DEC(Reverse(P308))</f>
        <v>93631153</v>
      </c>
      <c r="J308" s="45" cm="1">
        <f t="array" ref="J308">IF(Q308&lt;&gt;0, HEX2DEC(Reverse(Q308))-$I308,"")</f>
        <v>17</v>
      </c>
      <c r="K308" s="45" cm="1">
        <f t="array" ref="K308">IF(R308&lt;&gt;0, HEX2DEC(Reverse(R308))-$I308,"")</f>
        <v>131</v>
      </c>
      <c r="L308" s="45" t="str" cm="1">
        <f t="array" ref="L308">IF(S308&lt;&gt;0, HEX2DEC(Reverse(S308))-$I308,"")</f>
        <v/>
      </c>
      <c r="M308" s="45" cm="1">
        <f t="array" ref="M308">IF(T308&lt;&gt;0, HEX2DEC(Reverse(T308))-$I308,"")</f>
        <v>132</v>
      </c>
      <c r="O308" s="3">
        <v>1020100</v>
      </c>
      <c r="P308" s="3" t="s">
        <v>114</v>
      </c>
      <c r="Q308" s="3" t="s">
        <v>146</v>
      </c>
      <c r="R308" s="3" t="s">
        <v>1209</v>
      </c>
      <c r="S308" s="3">
        <v>0</v>
      </c>
      <c r="T308" s="3" t="s">
        <v>1212</v>
      </c>
      <c r="U308" s="3"/>
      <c r="V308" s="4"/>
    </row>
    <row r="309" spans="1:22" x14ac:dyDescent="0.2">
      <c r="A309" s="46" t="s">
        <v>397</v>
      </c>
      <c r="B309" s="46">
        <v>3146</v>
      </c>
      <c r="C309" s="36" t="s">
        <v>1</v>
      </c>
      <c r="D309" s="36" t="s">
        <v>2</v>
      </c>
      <c r="E309" s="36" t="s">
        <v>90</v>
      </c>
      <c r="F309" s="36" t="s">
        <v>110</v>
      </c>
      <c r="G309" s="36" t="s">
        <v>1753</v>
      </c>
      <c r="H309" s="35" t="str" cm="1">
        <f t="array" ref="H309">Reverse2_6(O309)</f>
        <v>00-010101</v>
      </c>
      <c r="I309" s="44" cm="1">
        <f t="array" ref="I309">HEX2DEC(Reverse(P309))</f>
        <v>93631153</v>
      </c>
      <c r="J309" s="44" cm="1">
        <f t="array" ref="J309">IF(Q309&lt;&gt;0, HEX2DEC(Reverse(Q309))-$I309,"")</f>
        <v>18</v>
      </c>
      <c r="K309" s="44" cm="1">
        <f t="array" ref="K309">IF(R309&lt;&gt;0, HEX2DEC(Reverse(R309))-$I309,"")</f>
        <v>131</v>
      </c>
      <c r="L309" s="44" cm="1">
        <f t="array" ref="L309">IF(S309&lt;&gt;0, HEX2DEC(Reverse(S309))-$I309,"")</f>
        <v>19</v>
      </c>
      <c r="M309" s="44" cm="1">
        <f t="array" ref="M309">IF(T309&lt;&gt;0, HEX2DEC(Reverse(T309))-$I309,"")</f>
        <v>132</v>
      </c>
      <c r="O309" s="3">
        <v>1010100</v>
      </c>
      <c r="P309" s="3" t="s">
        <v>114</v>
      </c>
      <c r="Q309" s="3" t="s">
        <v>148</v>
      </c>
      <c r="R309" s="3" t="s">
        <v>1209</v>
      </c>
      <c r="S309" s="30" t="s">
        <v>150</v>
      </c>
      <c r="T309" s="3" t="s">
        <v>1212</v>
      </c>
      <c r="U309" s="3">
        <v>31313131</v>
      </c>
      <c r="V309" s="4" t="s">
        <v>145</v>
      </c>
    </row>
    <row r="310" spans="1:22" x14ac:dyDescent="0.2">
      <c r="A310" s="46" t="s">
        <v>398</v>
      </c>
      <c r="B310" s="46">
        <v>3147</v>
      </c>
      <c r="C310" s="36" t="s">
        <v>1</v>
      </c>
      <c r="D310" s="36" t="s">
        <v>2</v>
      </c>
      <c r="E310" s="36" t="s">
        <v>90</v>
      </c>
      <c r="F310" s="36" t="s">
        <v>106</v>
      </c>
      <c r="G310" s="36"/>
      <c r="H310" s="35" t="str" cm="1">
        <f t="array" ref="H310">Reverse2_6(O310)</f>
        <v>00-010101</v>
      </c>
      <c r="I310" s="44" cm="1">
        <f t="array" ref="I310">HEX2DEC(Reverse(P310))</f>
        <v>93631153</v>
      </c>
      <c r="J310" s="44" cm="1">
        <f t="array" ref="J310">IF(Q310&lt;&gt;0, HEX2DEC(Reverse(Q310))-$I310,"")</f>
        <v>19</v>
      </c>
      <c r="K310" s="44" cm="1">
        <f t="array" ref="K310">IF(R310&lt;&gt;0, HEX2DEC(Reverse(R310))-$I310,"")</f>
        <v>131</v>
      </c>
      <c r="L310" s="44" cm="1">
        <f t="array" ref="L310">IF(S310&lt;&gt;0, HEX2DEC(Reverse(S310))-$I310,"")</f>
        <v>20</v>
      </c>
      <c r="M310" s="44" cm="1">
        <f t="array" ref="M310">IF(T310&lt;&gt;0, HEX2DEC(Reverse(T310))-$I310,"")</f>
        <v>132</v>
      </c>
      <c r="O310" s="3">
        <v>1010100</v>
      </c>
      <c r="P310" s="3" t="s">
        <v>114</v>
      </c>
      <c r="Q310" s="3" t="s">
        <v>150</v>
      </c>
      <c r="R310" s="3" t="s">
        <v>1209</v>
      </c>
      <c r="S310" s="3" t="s">
        <v>152</v>
      </c>
      <c r="T310" s="3" t="s">
        <v>1212</v>
      </c>
      <c r="U310" s="3">
        <v>31313131</v>
      </c>
      <c r="V310" s="4" t="s">
        <v>135</v>
      </c>
    </row>
    <row r="311" spans="1:22" x14ac:dyDescent="0.2">
      <c r="A311" s="16" t="s">
        <v>399</v>
      </c>
      <c r="B311" s="16">
        <v>3156</v>
      </c>
      <c r="C311" s="15" t="s">
        <v>2</v>
      </c>
      <c r="D311" s="15" t="s">
        <v>1</v>
      </c>
      <c r="E311" s="15" t="s">
        <v>92</v>
      </c>
      <c r="F311" s="15" t="s">
        <v>96</v>
      </c>
      <c r="G311" s="15"/>
      <c r="H311" s="17" t="str" cm="1">
        <f t="array" ref="H311">Reverse2_6(O311)</f>
        <v>00-010101</v>
      </c>
      <c r="I311" s="18" cm="1">
        <f t="array" ref="I311">HEX2DEC(Reverse(P311))</f>
        <v>93631153</v>
      </c>
      <c r="J311" s="18" cm="1">
        <f t="array" ref="J311">IF(Q311&lt;&gt;0, HEX2DEC(Reverse(Q311))-$I311,"")</f>
        <v>132</v>
      </c>
      <c r="K311" s="18" cm="1">
        <f t="array" ref="K311">IF(R311&lt;&gt;0, HEX2DEC(Reverse(R311))-$I311,"")</f>
        <v>17</v>
      </c>
      <c r="L311" s="18" cm="1">
        <f t="array" ref="L311">IF(S311&lt;&gt;0, HEX2DEC(Reverse(S311))-$I311,"")</f>
        <v>133</v>
      </c>
      <c r="M311" s="18" cm="1">
        <f t="array" ref="M311">IF(T311&lt;&gt;0, HEX2DEC(Reverse(T311))-$I311,"")</f>
        <v>18</v>
      </c>
      <c r="O311" s="3">
        <v>1010100</v>
      </c>
      <c r="P311" s="3" t="s">
        <v>114</v>
      </c>
      <c r="Q311" s="3" t="s">
        <v>1212</v>
      </c>
      <c r="R311" s="19" t="s">
        <v>146</v>
      </c>
      <c r="S311" s="3" t="s">
        <v>1215</v>
      </c>
      <c r="T311" s="3" t="s">
        <v>148</v>
      </c>
      <c r="U311" s="3">
        <v>31313131</v>
      </c>
      <c r="V311" s="4" t="s">
        <v>1216</v>
      </c>
    </row>
    <row r="312" spans="1:22" x14ac:dyDescent="0.2">
      <c r="A312" s="20" t="s">
        <v>400</v>
      </c>
      <c r="B312" s="20">
        <v>3157</v>
      </c>
      <c r="C312" s="21" t="s">
        <v>1</v>
      </c>
      <c r="D312" s="21" t="s">
        <v>2</v>
      </c>
      <c r="E312" s="21" t="s">
        <v>90</v>
      </c>
      <c r="F312" s="21" t="s">
        <v>94</v>
      </c>
      <c r="G312" s="21" t="s">
        <v>1778</v>
      </c>
      <c r="H312" s="22" t="str" cm="1">
        <f t="array" ref="H312">Reverse2_6(O312)</f>
        <v>00-010201</v>
      </c>
      <c r="I312" s="45" cm="1">
        <f t="array" ref="I312">HEX2DEC(Reverse(P312))</f>
        <v>93631153</v>
      </c>
      <c r="J312" s="45" cm="1">
        <f t="array" ref="J312">IF(Q312&lt;&gt;0, HEX2DEC(Reverse(Q312))-$I312,"")</f>
        <v>19</v>
      </c>
      <c r="K312" s="45" cm="1">
        <f t="array" ref="K312">IF(R312&lt;&gt;0, HEX2DEC(Reverse(R312))-$I312,"")</f>
        <v>132</v>
      </c>
      <c r="L312" s="45" t="str" cm="1">
        <f t="array" ref="L312">IF(S312&lt;&gt;0, HEX2DEC(Reverse(S312))-$I312,"")</f>
        <v/>
      </c>
      <c r="M312" s="45" cm="1">
        <f t="array" ref="M312">IF(T312&lt;&gt;0, HEX2DEC(Reverse(T312))-$I312,"")</f>
        <v>133</v>
      </c>
      <c r="O312" s="3">
        <v>1020100</v>
      </c>
      <c r="P312" s="3" t="s">
        <v>114</v>
      </c>
      <c r="Q312" s="3" t="s">
        <v>150</v>
      </c>
      <c r="R312" s="3" t="s">
        <v>1212</v>
      </c>
      <c r="S312" s="3">
        <v>0</v>
      </c>
      <c r="T312" s="3" t="s">
        <v>1215</v>
      </c>
      <c r="U312" s="3"/>
      <c r="V312" s="4"/>
    </row>
    <row r="313" spans="1:22" x14ac:dyDescent="0.2">
      <c r="A313" s="16" t="s">
        <v>401</v>
      </c>
      <c r="B313" s="16">
        <v>3158</v>
      </c>
      <c r="C313" s="15" t="s">
        <v>2</v>
      </c>
      <c r="D313" s="15" t="s">
        <v>1</v>
      </c>
      <c r="E313" s="15" t="s">
        <v>92</v>
      </c>
      <c r="F313" s="15" t="s">
        <v>96</v>
      </c>
      <c r="G313" s="15"/>
      <c r="H313" s="17" t="str" cm="1">
        <f t="array" ref="H313">Reverse2_6(O313)</f>
        <v>00-010101</v>
      </c>
      <c r="I313" s="18" cm="1">
        <f t="array" ref="I313">HEX2DEC(Reverse(P313))</f>
        <v>93631153</v>
      </c>
      <c r="J313" s="18" cm="1">
        <f t="array" ref="J313">IF(Q313&lt;&gt;0, HEX2DEC(Reverse(Q313))-$I313,"")</f>
        <v>133</v>
      </c>
      <c r="K313" s="18" cm="1">
        <f t="array" ref="K313">IF(R313&lt;&gt;0, HEX2DEC(Reverse(R313))-$I313,"")</f>
        <v>17</v>
      </c>
      <c r="L313" s="18" cm="1">
        <f t="array" ref="L313">IF(S313&lt;&gt;0, HEX2DEC(Reverse(S313))-$I313,"")</f>
        <v>134</v>
      </c>
      <c r="M313" s="18" cm="1">
        <f t="array" ref="M313">IF(T313&lt;&gt;0, HEX2DEC(Reverse(T313))-$I313,"")</f>
        <v>18</v>
      </c>
      <c r="O313" s="3">
        <v>1010100</v>
      </c>
      <c r="P313" s="3" t="s">
        <v>114</v>
      </c>
      <c r="Q313" s="3" t="s">
        <v>1215</v>
      </c>
      <c r="R313" s="19" t="s">
        <v>146</v>
      </c>
      <c r="S313" s="3" t="s">
        <v>1217</v>
      </c>
      <c r="T313" s="3" t="s">
        <v>148</v>
      </c>
      <c r="U313" s="3" t="s">
        <v>1218</v>
      </c>
      <c r="V313" s="4" t="s">
        <v>1219</v>
      </c>
    </row>
    <row r="314" spans="1:22" x14ac:dyDescent="0.2">
      <c r="A314" s="20" t="s">
        <v>402</v>
      </c>
      <c r="B314" s="20">
        <v>3159</v>
      </c>
      <c r="C314" s="21" t="s">
        <v>1</v>
      </c>
      <c r="D314" s="21" t="s">
        <v>2</v>
      </c>
      <c r="E314" s="21" t="s">
        <v>90</v>
      </c>
      <c r="F314" s="21" t="s">
        <v>94</v>
      </c>
      <c r="G314" s="21" t="s">
        <v>1778</v>
      </c>
      <c r="H314" s="22" t="str" cm="1">
        <f t="array" ref="H314">Reverse2_6(O314)</f>
        <v>00-010201</v>
      </c>
      <c r="I314" s="45" cm="1">
        <f t="array" ref="I314">HEX2DEC(Reverse(P314))</f>
        <v>93631153</v>
      </c>
      <c r="J314" s="45" cm="1">
        <f t="array" ref="J314">IF(Q314&lt;&gt;0, HEX2DEC(Reverse(Q314))-$I314,"")</f>
        <v>19</v>
      </c>
      <c r="K314" s="45" cm="1">
        <f t="array" ref="K314">IF(R314&lt;&gt;0, HEX2DEC(Reverse(R314))-$I314,"")</f>
        <v>133</v>
      </c>
      <c r="L314" s="45" t="str" cm="1">
        <f t="array" ref="L314">IF(S314&lt;&gt;0, HEX2DEC(Reverse(S314))-$I314,"")</f>
        <v/>
      </c>
      <c r="M314" s="45" cm="1">
        <f t="array" ref="M314">IF(T314&lt;&gt;0, HEX2DEC(Reverse(T314))-$I314,"")</f>
        <v>134</v>
      </c>
      <c r="O314" s="3">
        <v>1020100</v>
      </c>
      <c r="P314" s="3" t="s">
        <v>114</v>
      </c>
      <c r="Q314" s="3" t="s">
        <v>150</v>
      </c>
      <c r="R314" s="3" t="s">
        <v>1215</v>
      </c>
      <c r="S314" s="3">
        <v>0</v>
      </c>
      <c r="T314" s="3" t="s">
        <v>1217</v>
      </c>
      <c r="U314" s="3"/>
      <c r="V314" s="4"/>
    </row>
    <row r="315" spans="1:22" x14ac:dyDescent="0.2">
      <c r="A315" s="16" t="s">
        <v>403</v>
      </c>
      <c r="B315" s="16">
        <v>3160</v>
      </c>
      <c r="C315" s="15" t="s">
        <v>2</v>
      </c>
      <c r="D315" s="15" t="s">
        <v>1</v>
      </c>
      <c r="E315" s="15" t="s">
        <v>92</v>
      </c>
      <c r="F315" s="15" t="s">
        <v>852</v>
      </c>
      <c r="G315" s="15"/>
      <c r="H315" s="17" t="str" cm="1">
        <f t="array" ref="H315">Reverse2_6(O315)</f>
        <v>00-010101</v>
      </c>
      <c r="I315" s="18" cm="1">
        <f t="array" ref="I315">HEX2DEC(Reverse(P315))</f>
        <v>93631153</v>
      </c>
      <c r="J315" s="18" cm="1">
        <f t="array" ref="J315">IF(Q315&lt;&gt;0, HEX2DEC(Reverse(Q315))-$I315,"")</f>
        <v>134</v>
      </c>
      <c r="K315" s="18" cm="1">
        <f t="array" ref="K315">IF(R315&lt;&gt;0, HEX2DEC(Reverse(R315))-$I315,"")</f>
        <v>17</v>
      </c>
      <c r="L315" s="18" cm="1">
        <f t="array" ref="L315">IF(S315&lt;&gt;0, HEX2DEC(Reverse(S315))-$I315,"")</f>
        <v>135</v>
      </c>
      <c r="M315" s="18" cm="1">
        <f t="array" ref="M315">IF(T315&lt;&gt;0, HEX2DEC(Reverse(T315))-$I315,"")</f>
        <v>18</v>
      </c>
      <c r="O315" s="3">
        <v>1010100</v>
      </c>
      <c r="P315" s="3" t="s">
        <v>114</v>
      </c>
      <c r="Q315" s="3" t="s">
        <v>1217</v>
      </c>
      <c r="R315" s="19" t="s">
        <v>146</v>
      </c>
      <c r="S315" s="3" t="s">
        <v>1220</v>
      </c>
      <c r="T315" s="3" t="s">
        <v>148</v>
      </c>
      <c r="U315" s="3" t="s">
        <v>1221</v>
      </c>
      <c r="V315" s="4" t="s">
        <v>1222</v>
      </c>
    </row>
    <row r="316" spans="1:22" x14ac:dyDescent="0.2">
      <c r="A316" s="16" t="s">
        <v>404</v>
      </c>
      <c r="B316" s="16">
        <v>3161</v>
      </c>
      <c r="C316" s="15" t="s">
        <v>2</v>
      </c>
      <c r="D316" s="15" t="s">
        <v>1</v>
      </c>
      <c r="E316" s="15" t="s">
        <v>92</v>
      </c>
      <c r="F316" s="15" t="s">
        <v>96</v>
      </c>
      <c r="G316" s="15"/>
      <c r="H316" s="17" t="str" cm="1">
        <f t="array" ref="H316">Reverse2_6(O316)</f>
        <v>00-010101</v>
      </c>
      <c r="I316" s="18" cm="1">
        <f t="array" ref="I316">HEX2DEC(Reverse(P316))</f>
        <v>93631153</v>
      </c>
      <c r="J316" s="18" cm="1">
        <f t="array" ref="J316">IF(Q316&lt;&gt;0, HEX2DEC(Reverse(Q316))-$I316,"")</f>
        <v>135</v>
      </c>
      <c r="K316" s="18" cm="1">
        <f t="array" ref="K316">IF(R316&lt;&gt;0, HEX2DEC(Reverse(R316))-$I316,"")</f>
        <v>17</v>
      </c>
      <c r="L316" s="18" cm="1">
        <f t="array" ref="L316">IF(S316&lt;&gt;0, HEX2DEC(Reverse(S316))-$I316,"")</f>
        <v>136</v>
      </c>
      <c r="M316" s="18" cm="1">
        <f t="array" ref="M316">IF(T316&lt;&gt;0, HEX2DEC(Reverse(T316))-$I316,"")</f>
        <v>18</v>
      </c>
      <c r="O316" s="3">
        <v>1010100</v>
      </c>
      <c r="P316" s="3" t="s">
        <v>114</v>
      </c>
      <c r="Q316" s="3" t="s">
        <v>1220</v>
      </c>
      <c r="R316" s="19" t="s">
        <v>146</v>
      </c>
      <c r="S316" s="3" t="s">
        <v>1223</v>
      </c>
      <c r="T316" s="3" t="s">
        <v>148</v>
      </c>
      <c r="U316" s="3">
        <v>31313131</v>
      </c>
      <c r="V316" s="4" t="s">
        <v>1224</v>
      </c>
    </row>
    <row r="317" spans="1:22" x14ac:dyDescent="0.2">
      <c r="A317" s="16" t="s">
        <v>405</v>
      </c>
      <c r="B317" s="16">
        <v>3162</v>
      </c>
      <c r="C317" s="15" t="s">
        <v>2</v>
      </c>
      <c r="D317" s="15" t="s">
        <v>1</v>
      </c>
      <c r="E317" s="15" t="s">
        <v>92</v>
      </c>
      <c r="F317" s="15" t="s">
        <v>96</v>
      </c>
      <c r="G317" s="15"/>
      <c r="H317" s="17" t="str" cm="1">
        <f t="array" ref="H317">Reverse2_6(O317)</f>
        <v>00-010101</v>
      </c>
      <c r="I317" s="18" cm="1">
        <f t="array" ref="I317">HEX2DEC(Reverse(P317))</f>
        <v>93631153</v>
      </c>
      <c r="J317" s="18" cm="1">
        <f t="array" ref="J317">IF(Q317&lt;&gt;0, HEX2DEC(Reverse(Q317))-$I317,"")</f>
        <v>136</v>
      </c>
      <c r="K317" s="18" cm="1">
        <f t="array" ref="K317">IF(R317&lt;&gt;0, HEX2DEC(Reverse(R317))-$I317,"")</f>
        <v>17</v>
      </c>
      <c r="L317" s="18" cm="1">
        <f t="array" ref="L317">IF(S317&lt;&gt;0, HEX2DEC(Reverse(S317))-$I317,"")</f>
        <v>137</v>
      </c>
      <c r="M317" s="18" cm="1">
        <f t="array" ref="M317">IF(T317&lt;&gt;0, HEX2DEC(Reverse(T317))-$I317,"")</f>
        <v>18</v>
      </c>
      <c r="O317" s="3">
        <v>1010100</v>
      </c>
      <c r="P317" s="3" t="s">
        <v>114</v>
      </c>
      <c r="Q317" s="3" t="s">
        <v>1223</v>
      </c>
      <c r="R317" s="19" t="s">
        <v>146</v>
      </c>
      <c r="S317" s="3" t="s">
        <v>1225</v>
      </c>
      <c r="T317" s="3" t="s">
        <v>148</v>
      </c>
      <c r="U317" s="3" t="s">
        <v>1226</v>
      </c>
      <c r="V317" s="4" t="s">
        <v>1227</v>
      </c>
    </row>
    <row r="318" spans="1:22" x14ac:dyDescent="0.2">
      <c r="A318" s="16" t="s">
        <v>406</v>
      </c>
      <c r="B318" s="16">
        <v>3163</v>
      </c>
      <c r="C318" s="15" t="s">
        <v>2</v>
      </c>
      <c r="D318" s="15" t="s">
        <v>1</v>
      </c>
      <c r="E318" s="15" t="s">
        <v>92</v>
      </c>
      <c r="F318" s="15" t="s">
        <v>853</v>
      </c>
      <c r="G318" s="15"/>
      <c r="H318" s="17" t="str" cm="1">
        <f t="array" ref="H318">Reverse2_6(O318)</f>
        <v>00-010101</v>
      </c>
      <c r="I318" s="18" cm="1">
        <f t="array" ref="I318">HEX2DEC(Reverse(P318))</f>
        <v>93631153</v>
      </c>
      <c r="J318" s="18" cm="1">
        <f t="array" ref="J318">IF(Q318&lt;&gt;0, HEX2DEC(Reverse(Q318))-$I318,"")</f>
        <v>137</v>
      </c>
      <c r="K318" s="18" cm="1">
        <f t="array" ref="K318">IF(R318&lt;&gt;0, HEX2DEC(Reverse(R318))-$I318,"")</f>
        <v>17</v>
      </c>
      <c r="L318" s="18" cm="1">
        <f t="array" ref="L318">IF(S318&lt;&gt;0, HEX2DEC(Reverse(S318))-$I318,"")</f>
        <v>138</v>
      </c>
      <c r="M318" s="18" cm="1">
        <f t="array" ref="M318">IF(T318&lt;&gt;0, HEX2DEC(Reverse(T318))-$I318,"")</f>
        <v>18</v>
      </c>
      <c r="O318" s="3">
        <v>1010100</v>
      </c>
      <c r="P318" s="3" t="s">
        <v>114</v>
      </c>
      <c r="Q318" s="3" t="s">
        <v>1225</v>
      </c>
      <c r="R318" s="19" t="s">
        <v>146</v>
      </c>
      <c r="S318" s="3" t="s">
        <v>1228</v>
      </c>
      <c r="T318" s="3" t="s">
        <v>148</v>
      </c>
      <c r="U318" s="3" t="s">
        <v>1229</v>
      </c>
      <c r="V318" s="4" t="s">
        <v>1230</v>
      </c>
    </row>
    <row r="319" spans="1:22" x14ac:dyDescent="0.2">
      <c r="A319" s="16" t="s">
        <v>407</v>
      </c>
      <c r="B319" s="16">
        <v>3164</v>
      </c>
      <c r="C319" s="15" t="s">
        <v>2</v>
      </c>
      <c r="D319" s="15" t="s">
        <v>1</v>
      </c>
      <c r="E319" s="15" t="s">
        <v>92</v>
      </c>
      <c r="F319" s="15" t="s">
        <v>96</v>
      </c>
      <c r="G319" s="15"/>
      <c r="H319" s="17" t="str" cm="1">
        <f t="array" ref="H319">Reverse2_6(O319)</f>
        <v>00-010101</v>
      </c>
      <c r="I319" s="18" cm="1">
        <f t="array" ref="I319">HEX2DEC(Reverse(P319))</f>
        <v>93631153</v>
      </c>
      <c r="J319" s="18" cm="1">
        <f t="array" ref="J319">IF(Q319&lt;&gt;0, HEX2DEC(Reverse(Q319))-$I319,"")</f>
        <v>138</v>
      </c>
      <c r="K319" s="18" cm="1">
        <f t="array" ref="K319">IF(R319&lt;&gt;0, HEX2DEC(Reverse(R319))-$I319,"")</f>
        <v>17</v>
      </c>
      <c r="L319" s="18" cm="1">
        <f t="array" ref="L319">IF(S319&lt;&gt;0, HEX2DEC(Reverse(S319))-$I319,"")</f>
        <v>139</v>
      </c>
      <c r="M319" s="18" cm="1">
        <f t="array" ref="M319">IF(T319&lt;&gt;0, HEX2DEC(Reverse(T319))-$I319,"")</f>
        <v>18</v>
      </c>
      <c r="O319" s="3">
        <v>1010100</v>
      </c>
      <c r="P319" s="3" t="s">
        <v>114</v>
      </c>
      <c r="Q319" s="3" t="s">
        <v>1228</v>
      </c>
      <c r="R319" s="19" t="s">
        <v>146</v>
      </c>
      <c r="S319" s="3" t="s">
        <v>1231</v>
      </c>
      <c r="T319" s="3" t="s">
        <v>148</v>
      </c>
      <c r="U319" s="3">
        <v>31313131</v>
      </c>
      <c r="V319" s="4" t="s">
        <v>1232</v>
      </c>
    </row>
    <row r="320" spans="1:22" x14ac:dyDescent="0.2">
      <c r="A320" s="16" t="s">
        <v>408</v>
      </c>
      <c r="B320" s="16">
        <v>3165</v>
      </c>
      <c r="C320" s="15" t="s">
        <v>2</v>
      </c>
      <c r="D320" s="15" t="s">
        <v>1</v>
      </c>
      <c r="E320" s="15" t="s">
        <v>92</v>
      </c>
      <c r="F320" s="15" t="s">
        <v>96</v>
      </c>
      <c r="G320" s="15"/>
      <c r="H320" s="17" t="str" cm="1">
        <f t="array" ref="H320">Reverse2_6(O320)</f>
        <v>00-010101</v>
      </c>
      <c r="I320" s="18" cm="1">
        <f t="array" ref="I320">HEX2DEC(Reverse(P320))</f>
        <v>93631153</v>
      </c>
      <c r="J320" s="18" cm="1">
        <f t="array" ref="J320">IF(Q320&lt;&gt;0, HEX2DEC(Reverse(Q320))-$I320,"")</f>
        <v>139</v>
      </c>
      <c r="K320" s="18" cm="1">
        <f t="array" ref="K320">IF(R320&lt;&gt;0, HEX2DEC(Reverse(R320))-$I320,"")</f>
        <v>17</v>
      </c>
      <c r="L320" s="18" cm="1">
        <f t="array" ref="L320">IF(S320&lt;&gt;0, HEX2DEC(Reverse(S320))-$I320,"")</f>
        <v>140</v>
      </c>
      <c r="M320" s="18" cm="1">
        <f t="array" ref="M320">IF(T320&lt;&gt;0, HEX2DEC(Reverse(T320))-$I320,"")</f>
        <v>18</v>
      </c>
      <c r="O320" s="3">
        <v>1010100</v>
      </c>
      <c r="P320" s="3" t="s">
        <v>114</v>
      </c>
      <c r="Q320" s="3" t="s">
        <v>1231</v>
      </c>
      <c r="R320" s="19" t="s">
        <v>146</v>
      </c>
      <c r="S320" s="3" t="s">
        <v>1233</v>
      </c>
      <c r="T320" s="3" t="s">
        <v>148</v>
      </c>
      <c r="U320" s="3" t="s">
        <v>1234</v>
      </c>
      <c r="V320" s="4" t="s">
        <v>1235</v>
      </c>
    </row>
    <row r="321" spans="1:22" x14ac:dyDescent="0.2">
      <c r="A321" s="16" t="s">
        <v>409</v>
      </c>
      <c r="B321" s="16">
        <v>3166</v>
      </c>
      <c r="C321" s="15" t="s">
        <v>2</v>
      </c>
      <c r="D321" s="15" t="s">
        <v>1</v>
      </c>
      <c r="E321" s="15" t="s">
        <v>92</v>
      </c>
      <c r="F321" s="15" t="s">
        <v>854</v>
      </c>
      <c r="G321" s="15"/>
      <c r="H321" s="17" t="str" cm="1">
        <f t="array" ref="H321">Reverse2_6(O321)</f>
        <v>00-010101</v>
      </c>
      <c r="I321" s="18" cm="1">
        <f t="array" ref="I321">HEX2DEC(Reverse(P321))</f>
        <v>93631153</v>
      </c>
      <c r="J321" s="18" cm="1">
        <f t="array" ref="J321">IF(Q321&lt;&gt;0, HEX2DEC(Reverse(Q321))-$I321,"")</f>
        <v>140</v>
      </c>
      <c r="K321" s="18" cm="1">
        <f t="array" ref="K321">IF(R321&lt;&gt;0, HEX2DEC(Reverse(R321))-$I321,"")</f>
        <v>17</v>
      </c>
      <c r="L321" s="18" cm="1">
        <f t="array" ref="L321">IF(S321&lt;&gt;0, HEX2DEC(Reverse(S321))-$I321,"")</f>
        <v>141</v>
      </c>
      <c r="M321" s="18" cm="1">
        <f t="array" ref="M321">IF(T321&lt;&gt;0, HEX2DEC(Reverse(T321))-$I321,"")</f>
        <v>18</v>
      </c>
      <c r="O321" s="3">
        <v>1010100</v>
      </c>
      <c r="P321" s="3" t="s">
        <v>114</v>
      </c>
      <c r="Q321" s="3" t="s">
        <v>1233</v>
      </c>
      <c r="R321" s="19" t="s">
        <v>146</v>
      </c>
      <c r="S321" s="3" t="s">
        <v>1236</v>
      </c>
      <c r="T321" s="3" t="s">
        <v>148</v>
      </c>
      <c r="U321" s="3" t="s">
        <v>1237</v>
      </c>
      <c r="V321" s="4" t="s">
        <v>1238</v>
      </c>
    </row>
    <row r="322" spans="1:22" x14ac:dyDescent="0.2">
      <c r="A322" s="20" t="s">
        <v>410</v>
      </c>
      <c r="B322" s="20">
        <v>3167</v>
      </c>
      <c r="C322" s="21" t="s">
        <v>1</v>
      </c>
      <c r="D322" s="21" t="s">
        <v>2</v>
      </c>
      <c r="E322" s="21" t="s">
        <v>90</v>
      </c>
      <c r="F322" s="21" t="s">
        <v>94</v>
      </c>
      <c r="G322" s="21" t="s">
        <v>1778</v>
      </c>
      <c r="H322" s="22" t="str" cm="1">
        <f t="array" ref="H322">Reverse2_6(O322)</f>
        <v>00-010201</v>
      </c>
      <c r="I322" s="45" cm="1">
        <f t="array" ref="I322">HEX2DEC(Reverse(P322))</f>
        <v>93631153</v>
      </c>
      <c r="J322" s="45" cm="1">
        <f t="array" ref="J322">IF(Q322&lt;&gt;0, HEX2DEC(Reverse(Q322))-$I322,"")</f>
        <v>19</v>
      </c>
      <c r="K322" s="45" cm="1">
        <f t="array" ref="K322">IF(R322&lt;&gt;0, HEX2DEC(Reverse(R322))-$I322,"")</f>
        <v>134</v>
      </c>
      <c r="L322" s="45" t="str" cm="1">
        <f t="array" ref="L322">IF(S322&lt;&gt;0, HEX2DEC(Reverse(S322))-$I322,"")</f>
        <v/>
      </c>
      <c r="M322" s="45" cm="1">
        <f t="array" ref="M322">IF(T322&lt;&gt;0, HEX2DEC(Reverse(T322))-$I322,"")</f>
        <v>135</v>
      </c>
      <c r="O322" s="3">
        <v>1020100</v>
      </c>
      <c r="P322" s="3" t="s">
        <v>114</v>
      </c>
      <c r="Q322" s="3" t="s">
        <v>150</v>
      </c>
      <c r="R322" s="3" t="s">
        <v>1217</v>
      </c>
      <c r="S322" s="3">
        <v>0</v>
      </c>
      <c r="T322" s="3" t="s">
        <v>1220</v>
      </c>
      <c r="U322" s="3"/>
      <c r="V322" s="4"/>
    </row>
    <row r="323" spans="1:22" x14ac:dyDescent="0.2">
      <c r="A323" s="20" t="s">
        <v>411</v>
      </c>
      <c r="B323" s="20">
        <v>3168</v>
      </c>
      <c r="C323" s="21" t="s">
        <v>1</v>
      </c>
      <c r="D323" s="21" t="s">
        <v>2</v>
      </c>
      <c r="E323" s="21" t="s">
        <v>90</v>
      </c>
      <c r="F323" s="21" t="s">
        <v>94</v>
      </c>
      <c r="G323" s="21" t="s">
        <v>1778</v>
      </c>
      <c r="H323" s="22" t="str" cm="1">
        <f t="array" ref="H323">Reverse2_6(O323)</f>
        <v>00-010201</v>
      </c>
      <c r="I323" s="45" cm="1">
        <f t="array" ref="I323">HEX2DEC(Reverse(P323))</f>
        <v>93631153</v>
      </c>
      <c r="J323" s="45" cm="1">
        <f t="array" ref="J323">IF(Q323&lt;&gt;0, HEX2DEC(Reverse(Q323))-$I323,"")</f>
        <v>19</v>
      </c>
      <c r="K323" s="45" cm="1">
        <f t="array" ref="K323">IF(R323&lt;&gt;0, HEX2DEC(Reverse(R323))-$I323,"")</f>
        <v>135</v>
      </c>
      <c r="L323" s="45" t="str" cm="1">
        <f t="array" ref="L323">IF(S323&lt;&gt;0, HEX2DEC(Reverse(S323))-$I323,"")</f>
        <v/>
      </c>
      <c r="M323" s="45" cm="1">
        <f t="array" ref="M323">IF(T323&lt;&gt;0, HEX2DEC(Reverse(T323))-$I323,"")</f>
        <v>136</v>
      </c>
      <c r="O323" s="3">
        <v>1020100</v>
      </c>
      <c r="P323" s="3" t="s">
        <v>114</v>
      </c>
      <c r="Q323" s="3" t="s">
        <v>150</v>
      </c>
      <c r="R323" s="3" t="s">
        <v>1220</v>
      </c>
      <c r="S323" s="3">
        <v>0</v>
      </c>
      <c r="T323" s="3" t="s">
        <v>1223</v>
      </c>
      <c r="U323" s="3"/>
      <c r="V323" s="4"/>
    </row>
    <row r="324" spans="1:22" x14ac:dyDescent="0.2">
      <c r="A324" s="20" t="s">
        <v>412</v>
      </c>
      <c r="B324" s="20">
        <v>3169</v>
      </c>
      <c r="C324" s="21" t="s">
        <v>1</v>
      </c>
      <c r="D324" s="21" t="s">
        <v>2</v>
      </c>
      <c r="E324" s="21" t="s">
        <v>90</v>
      </c>
      <c r="F324" s="21" t="s">
        <v>94</v>
      </c>
      <c r="G324" s="21" t="s">
        <v>1778</v>
      </c>
      <c r="H324" s="22" t="str" cm="1">
        <f t="array" ref="H324">Reverse2_6(O324)</f>
        <v>00-010201</v>
      </c>
      <c r="I324" s="45" cm="1">
        <f t="array" ref="I324">HEX2DEC(Reverse(P324))</f>
        <v>93631153</v>
      </c>
      <c r="J324" s="45" cm="1">
        <f t="array" ref="J324">IF(Q324&lt;&gt;0, HEX2DEC(Reverse(Q324))-$I324,"")</f>
        <v>19</v>
      </c>
      <c r="K324" s="45" cm="1">
        <f t="array" ref="K324">IF(R324&lt;&gt;0, HEX2DEC(Reverse(R324))-$I324,"")</f>
        <v>136</v>
      </c>
      <c r="L324" s="45" t="str" cm="1">
        <f t="array" ref="L324">IF(S324&lt;&gt;0, HEX2DEC(Reverse(S324))-$I324,"")</f>
        <v/>
      </c>
      <c r="M324" s="45" cm="1">
        <f t="array" ref="M324">IF(T324&lt;&gt;0, HEX2DEC(Reverse(T324))-$I324,"")</f>
        <v>137</v>
      </c>
      <c r="O324" s="3">
        <v>1020100</v>
      </c>
      <c r="P324" s="3" t="s">
        <v>114</v>
      </c>
      <c r="Q324" s="3" t="s">
        <v>150</v>
      </c>
      <c r="R324" s="3" t="s">
        <v>1223</v>
      </c>
      <c r="S324" s="3">
        <v>0</v>
      </c>
      <c r="T324" s="3" t="s">
        <v>1225</v>
      </c>
      <c r="U324" s="3"/>
      <c r="V324" s="4"/>
    </row>
    <row r="325" spans="1:22" x14ac:dyDescent="0.2">
      <c r="A325" s="20" t="s">
        <v>413</v>
      </c>
      <c r="B325" s="20">
        <v>3170</v>
      </c>
      <c r="C325" s="21" t="s">
        <v>1</v>
      </c>
      <c r="D325" s="21" t="s">
        <v>2</v>
      </c>
      <c r="E325" s="21" t="s">
        <v>90</v>
      </c>
      <c r="F325" s="21" t="s">
        <v>94</v>
      </c>
      <c r="G325" s="21" t="s">
        <v>1778</v>
      </c>
      <c r="H325" s="22" t="str" cm="1">
        <f t="array" ref="H325">Reverse2_6(O325)</f>
        <v>00-010201</v>
      </c>
      <c r="I325" s="45" cm="1">
        <f t="array" ref="I325">HEX2DEC(Reverse(P325))</f>
        <v>93631153</v>
      </c>
      <c r="J325" s="45" cm="1">
        <f t="array" ref="J325">IF(Q325&lt;&gt;0, HEX2DEC(Reverse(Q325))-$I325,"")</f>
        <v>19</v>
      </c>
      <c r="K325" s="45" cm="1">
        <f t="array" ref="K325">IF(R325&lt;&gt;0, HEX2DEC(Reverse(R325))-$I325,"")</f>
        <v>137</v>
      </c>
      <c r="L325" s="45" t="str" cm="1">
        <f t="array" ref="L325">IF(S325&lt;&gt;0, HEX2DEC(Reverse(S325))-$I325,"")</f>
        <v/>
      </c>
      <c r="M325" s="45" cm="1">
        <f t="array" ref="M325">IF(T325&lt;&gt;0, HEX2DEC(Reverse(T325))-$I325,"")</f>
        <v>138</v>
      </c>
      <c r="O325" s="3">
        <v>1020100</v>
      </c>
      <c r="P325" s="3" t="s">
        <v>114</v>
      </c>
      <c r="Q325" s="3" t="s">
        <v>150</v>
      </c>
      <c r="R325" s="3" t="s">
        <v>1225</v>
      </c>
      <c r="S325" s="3">
        <v>0</v>
      </c>
      <c r="T325" s="3" t="s">
        <v>1228</v>
      </c>
      <c r="U325" s="3"/>
      <c r="V325" s="4"/>
    </row>
    <row r="326" spans="1:22" x14ac:dyDescent="0.2">
      <c r="A326" s="20" t="s">
        <v>414</v>
      </c>
      <c r="B326" s="20">
        <v>3171</v>
      </c>
      <c r="C326" s="21" t="s">
        <v>1</v>
      </c>
      <c r="D326" s="21" t="s">
        <v>2</v>
      </c>
      <c r="E326" s="21" t="s">
        <v>90</v>
      </c>
      <c r="F326" s="21" t="s">
        <v>94</v>
      </c>
      <c r="G326" s="21" t="s">
        <v>1778</v>
      </c>
      <c r="H326" s="22" t="str" cm="1">
        <f t="array" ref="H326">Reverse2_6(O326)</f>
        <v>00-010201</v>
      </c>
      <c r="I326" s="45" cm="1">
        <f t="array" ref="I326">HEX2DEC(Reverse(P326))</f>
        <v>93631153</v>
      </c>
      <c r="J326" s="45" cm="1">
        <f t="array" ref="J326">IF(Q326&lt;&gt;0, HEX2DEC(Reverse(Q326))-$I326,"")</f>
        <v>19</v>
      </c>
      <c r="K326" s="45" cm="1">
        <f t="array" ref="K326">IF(R326&lt;&gt;0, HEX2DEC(Reverse(R326))-$I326,"")</f>
        <v>138</v>
      </c>
      <c r="L326" s="45" t="str" cm="1">
        <f t="array" ref="L326">IF(S326&lt;&gt;0, HEX2DEC(Reverse(S326))-$I326,"")</f>
        <v/>
      </c>
      <c r="M326" s="45" cm="1">
        <f t="array" ref="M326">IF(T326&lt;&gt;0, HEX2DEC(Reverse(T326))-$I326,"")</f>
        <v>139</v>
      </c>
      <c r="O326" s="3">
        <v>1020100</v>
      </c>
      <c r="P326" s="3" t="s">
        <v>114</v>
      </c>
      <c r="Q326" s="3" t="s">
        <v>150</v>
      </c>
      <c r="R326" s="3" t="s">
        <v>1228</v>
      </c>
      <c r="S326" s="3">
        <v>0</v>
      </c>
      <c r="T326" s="3" t="s">
        <v>1231</v>
      </c>
      <c r="U326" s="3"/>
      <c r="V326" s="4"/>
    </row>
    <row r="327" spans="1:22" x14ac:dyDescent="0.2">
      <c r="A327" s="20" t="s">
        <v>415</v>
      </c>
      <c r="B327" s="20">
        <v>3172</v>
      </c>
      <c r="C327" s="21" t="s">
        <v>1</v>
      </c>
      <c r="D327" s="21" t="s">
        <v>2</v>
      </c>
      <c r="E327" s="21" t="s">
        <v>90</v>
      </c>
      <c r="F327" s="21" t="s">
        <v>94</v>
      </c>
      <c r="G327" s="21" t="s">
        <v>1778</v>
      </c>
      <c r="H327" s="22" t="str" cm="1">
        <f t="array" ref="H327">Reverse2_6(O327)</f>
        <v>00-010201</v>
      </c>
      <c r="I327" s="45" cm="1">
        <f t="array" ref="I327">HEX2DEC(Reverse(P327))</f>
        <v>93631153</v>
      </c>
      <c r="J327" s="45" cm="1">
        <f t="array" ref="J327">IF(Q327&lt;&gt;0, HEX2DEC(Reverse(Q327))-$I327,"")</f>
        <v>19</v>
      </c>
      <c r="K327" s="45" cm="1">
        <f t="array" ref="K327">IF(R327&lt;&gt;0, HEX2DEC(Reverse(R327))-$I327,"")</f>
        <v>139</v>
      </c>
      <c r="L327" s="45" t="str" cm="1">
        <f t="array" ref="L327">IF(S327&lt;&gt;0, HEX2DEC(Reverse(S327))-$I327,"")</f>
        <v/>
      </c>
      <c r="M327" s="45" cm="1">
        <f t="array" ref="M327">IF(T327&lt;&gt;0, HEX2DEC(Reverse(T327))-$I327,"")</f>
        <v>140</v>
      </c>
      <c r="O327" s="3">
        <v>1020100</v>
      </c>
      <c r="P327" s="3" t="s">
        <v>114</v>
      </c>
      <c r="Q327" s="3" t="s">
        <v>150</v>
      </c>
      <c r="R327" s="3" t="s">
        <v>1231</v>
      </c>
      <c r="S327" s="3">
        <v>0</v>
      </c>
      <c r="T327" s="3" t="s">
        <v>1233</v>
      </c>
      <c r="U327" s="3"/>
      <c r="V327" s="4"/>
    </row>
    <row r="328" spans="1:22" x14ac:dyDescent="0.2">
      <c r="A328" s="20" t="s">
        <v>416</v>
      </c>
      <c r="B328" s="20">
        <v>3173</v>
      </c>
      <c r="C328" s="21" t="s">
        <v>1</v>
      </c>
      <c r="D328" s="21" t="s">
        <v>2</v>
      </c>
      <c r="E328" s="21" t="s">
        <v>90</v>
      </c>
      <c r="F328" s="21" t="s">
        <v>94</v>
      </c>
      <c r="G328" s="21" t="s">
        <v>1778</v>
      </c>
      <c r="H328" s="22" t="str" cm="1">
        <f t="array" ref="H328">Reverse2_6(O328)</f>
        <v>00-010201</v>
      </c>
      <c r="I328" s="45" cm="1">
        <f t="array" ref="I328">HEX2DEC(Reverse(P328))</f>
        <v>93631153</v>
      </c>
      <c r="J328" s="45" cm="1">
        <f t="array" ref="J328">IF(Q328&lt;&gt;0, HEX2DEC(Reverse(Q328))-$I328,"")</f>
        <v>19</v>
      </c>
      <c r="K328" s="45" cm="1">
        <f t="array" ref="K328">IF(R328&lt;&gt;0, HEX2DEC(Reverse(R328))-$I328,"")</f>
        <v>140</v>
      </c>
      <c r="L328" s="45" t="str" cm="1">
        <f t="array" ref="L328">IF(S328&lt;&gt;0, HEX2DEC(Reverse(S328))-$I328,"")</f>
        <v/>
      </c>
      <c r="M328" s="45" cm="1">
        <f t="array" ref="M328">IF(T328&lt;&gt;0, HEX2DEC(Reverse(T328))-$I328,"")</f>
        <v>141</v>
      </c>
      <c r="O328" s="3">
        <v>1020100</v>
      </c>
      <c r="P328" s="3" t="s">
        <v>114</v>
      </c>
      <c r="Q328" s="3" t="s">
        <v>150</v>
      </c>
      <c r="R328" s="3" t="s">
        <v>1233</v>
      </c>
      <c r="S328" s="3">
        <v>0</v>
      </c>
      <c r="T328" s="3" t="s">
        <v>1236</v>
      </c>
      <c r="U328" s="3"/>
      <c r="V328" s="4"/>
    </row>
    <row r="329" spans="1:22" x14ac:dyDescent="0.2">
      <c r="A329" s="16" t="s">
        <v>417</v>
      </c>
      <c r="B329" s="16">
        <v>3178</v>
      </c>
      <c r="C329" s="15" t="s">
        <v>2</v>
      </c>
      <c r="D329" s="15" t="s">
        <v>1</v>
      </c>
      <c r="E329" s="15" t="s">
        <v>92</v>
      </c>
      <c r="F329" s="15" t="s">
        <v>855</v>
      </c>
      <c r="G329" s="15"/>
      <c r="H329" s="17" t="str" cm="1">
        <f t="array" ref="H329">Reverse2_6(O329)</f>
        <v>00-010101</v>
      </c>
      <c r="I329" s="18" cm="1">
        <f t="array" ref="I329">HEX2DEC(Reverse(P329))</f>
        <v>93631153</v>
      </c>
      <c r="J329" s="18" cm="1">
        <f t="array" ref="J329">IF(Q329&lt;&gt;0, HEX2DEC(Reverse(Q329))-$I329,"")</f>
        <v>141</v>
      </c>
      <c r="K329" s="18" cm="1">
        <f t="array" ref="K329">IF(R329&lt;&gt;0, HEX2DEC(Reverse(R329))-$I329,"")</f>
        <v>17</v>
      </c>
      <c r="L329" s="18" cm="1">
        <f t="array" ref="L329">IF(S329&lt;&gt;0, HEX2DEC(Reverse(S329))-$I329,"")</f>
        <v>142</v>
      </c>
      <c r="M329" s="18" cm="1">
        <f t="array" ref="M329">IF(T329&lt;&gt;0, HEX2DEC(Reverse(T329))-$I329,"")</f>
        <v>18</v>
      </c>
      <c r="O329" s="3">
        <v>1010100</v>
      </c>
      <c r="P329" s="3" t="s">
        <v>114</v>
      </c>
      <c r="Q329" s="3" t="s">
        <v>1236</v>
      </c>
      <c r="R329" s="19" t="s">
        <v>146</v>
      </c>
      <c r="S329" s="3" t="s">
        <v>1239</v>
      </c>
      <c r="T329" s="3" t="s">
        <v>148</v>
      </c>
      <c r="U329" s="3">
        <v>31313131</v>
      </c>
      <c r="V329" s="4" t="s">
        <v>1240</v>
      </c>
    </row>
    <row r="330" spans="1:22" x14ac:dyDescent="0.2">
      <c r="A330" s="24" t="s">
        <v>418</v>
      </c>
      <c r="B330" s="24">
        <v>3179</v>
      </c>
      <c r="C330" s="25" t="s">
        <v>2</v>
      </c>
      <c r="D330" s="25" t="s">
        <v>1</v>
      </c>
      <c r="E330" s="25" t="s">
        <v>92</v>
      </c>
      <c r="F330" s="25" t="s">
        <v>94</v>
      </c>
      <c r="G330" s="25" t="s">
        <v>1777</v>
      </c>
      <c r="H330" s="26" t="str" cm="1">
        <f t="array" ref="H330">Reverse2_6(O330)</f>
        <v>00-010201</v>
      </c>
      <c r="I330" s="43" cm="1">
        <f t="array" ref="I330">HEX2DEC(Reverse(P330))</f>
        <v>93631153</v>
      </c>
      <c r="J330" s="43" cm="1">
        <f t="array" ref="J330">IF(Q330&lt;&gt;0, HEX2DEC(Reverse(Q330))-$I330,"")</f>
        <v>141</v>
      </c>
      <c r="K330" s="43" cm="1">
        <f t="array" ref="K330">IF(R330&lt;&gt;0, HEX2DEC(Reverse(R330))-$I330,"")</f>
        <v>18</v>
      </c>
      <c r="L330" s="43" t="str" cm="1">
        <f t="array" ref="L330">IF(S330&lt;&gt;0, HEX2DEC(Reverse(S330))-$I330,"")</f>
        <v/>
      </c>
      <c r="M330" s="43" cm="1">
        <f t="array" ref="M330">IF(T330&lt;&gt;0, HEX2DEC(Reverse(T330))-$I330,"")</f>
        <v>19</v>
      </c>
      <c r="O330" s="26">
        <v>1020100</v>
      </c>
      <c r="P330" s="26" t="s">
        <v>114</v>
      </c>
      <c r="Q330" s="26" t="s">
        <v>1236</v>
      </c>
      <c r="R330" s="3" t="s">
        <v>148</v>
      </c>
      <c r="S330" s="26">
        <v>0</v>
      </c>
      <c r="T330" s="26" t="s">
        <v>150</v>
      </c>
      <c r="U330" s="3"/>
      <c r="V330" s="4"/>
    </row>
    <row r="331" spans="1:22" x14ac:dyDescent="0.2">
      <c r="A331" s="24" t="s">
        <v>419</v>
      </c>
      <c r="B331" s="24">
        <v>3180</v>
      </c>
      <c r="C331" s="25" t="s">
        <v>2</v>
      </c>
      <c r="D331" s="25" t="s">
        <v>1</v>
      </c>
      <c r="E331" s="25" t="s">
        <v>92</v>
      </c>
      <c r="F331" s="25" t="s">
        <v>94</v>
      </c>
      <c r="G331" s="25" t="s">
        <v>1777</v>
      </c>
      <c r="H331" s="26" t="str" cm="1">
        <f t="array" ref="H331">Reverse2_6(O331)</f>
        <v>00-010201</v>
      </c>
      <c r="I331" s="43" cm="1">
        <f t="array" ref="I331">HEX2DEC(Reverse(P331))</f>
        <v>93631153</v>
      </c>
      <c r="J331" s="43" cm="1">
        <f t="array" ref="J331">IF(Q331&lt;&gt;0, HEX2DEC(Reverse(Q331))-$I331,"")</f>
        <v>141</v>
      </c>
      <c r="K331" s="43" cm="1">
        <f t="array" ref="K331">IF(R331&lt;&gt;0, HEX2DEC(Reverse(R331))-$I331,"")</f>
        <v>19</v>
      </c>
      <c r="L331" s="43" t="str" cm="1">
        <f t="array" ref="L331">IF(S331&lt;&gt;0, HEX2DEC(Reverse(S331))-$I331,"")</f>
        <v/>
      </c>
      <c r="M331" s="43" cm="1">
        <f t="array" ref="M331">IF(T331&lt;&gt;0, HEX2DEC(Reverse(T331))-$I331,"")</f>
        <v>20</v>
      </c>
      <c r="O331" s="26">
        <v>1020100</v>
      </c>
      <c r="P331" s="26" t="s">
        <v>114</v>
      </c>
      <c r="Q331" s="26" t="s">
        <v>1236</v>
      </c>
      <c r="R331" s="30" t="s">
        <v>150</v>
      </c>
      <c r="S331" s="26">
        <v>0</v>
      </c>
      <c r="T331" s="26" t="s">
        <v>152</v>
      </c>
      <c r="U331" s="3"/>
      <c r="V331" s="4"/>
    </row>
    <row r="332" spans="1:22" x14ac:dyDescent="0.2">
      <c r="A332" s="20" t="s">
        <v>420</v>
      </c>
      <c r="B332" s="20">
        <v>3181</v>
      </c>
      <c r="C332" s="21" t="s">
        <v>1</v>
      </c>
      <c r="D332" s="21" t="s">
        <v>2</v>
      </c>
      <c r="E332" s="21" t="s">
        <v>90</v>
      </c>
      <c r="F332" s="21" t="s">
        <v>94</v>
      </c>
      <c r="G332" s="21" t="s">
        <v>1778</v>
      </c>
      <c r="H332" s="22" t="str" cm="1">
        <f t="array" ref="H332">Reverse2_6(O332)</f>
        <v>00-010201</v>
      </c>
      <c r="I332" s="45" cm="1">
        <f t="array" ref="I332">HEX2DEC(Reverse(P332))</f>
        <v>93631153</v>
      </c>
      <c r="J332" s="45" cm="1">
        <f t="array" ref="J332">IF(Q332&lt;&gt;0, HEX2DEC(Reverse(Q332))-$I332,"")</f>
        <v>19</v>
      </c>
      <c r="K332" s="45" cm="1">
        <f t="array" ref="K332">IF(R332&lt;&gt;0, HEX2DEC(Reverse(R332))-$I332,"")</f>
        <v>141</v>
      </c>
      <c r="L332" s="45" t="str" cm="1">
        <f t="array" ref="L332">IF(S332&lt;&gt;0, HEX2DEC(Reverse(S332))-$I332,"")</f>
        <v/>
      </c>
      <c r="M332" s="45" cm="1">
        <f t="array" ref="M332">IF(T332&lt;&gt;0, HEX2DEC(Reverse(T332))-$I332,"")</f>
        <v>142</v>
      </c>
      <c r="O332" s="3">
        <v>1020100</v>
      </c>
      <c r="P332" s="3" t="s">
        <v>114</v>
      </c>
      <c r="Q332" s="3" t="s">
        <v>150</v>
      </c>
      <c r="R332" s="3" t="s">
        <v>1236</v>
      </c>
      <c r="S332" s="3">
        <v>0</v>
      </c>
      <c r="T332" s="3" t="s">
        <v>1239</v>
      </c>
      <c r="U332" s="3"/>
      <c r="V332" s="4"/>
    </row>
    <row r="333" spans="1:22" x14ac:dyDescent="0.2">
      <c r="A333" s="16" t="s">
        <v>421</v>
      </c>
      <c r="B333" s="16">
        <v>3188</v>
      </c>
      <c r="C333" s="15" t="s">
        <v>2</v>
      </c>
      <c r="D333" s="15" t="s">
        <v>1</v>
      </c>
      <c r="E333" s="15" t="s">
        <v>92</v>
      </c>
      <c r="F333" s="15" t="s">
        <v>96</v>
      </c>
      <c r="G333" s="15"/>
      <c r="H333" s="17" t="str" cm="1">
        <f t="array" ref="H333">Reverse2_6(O333)</f>
        <v>00-010101</v>
      </c>
      <c r="I333" s="18" cm="1">
        <f t="array" ref="I333">HEX2DEC(Reverse(P333))</f>
        <v>93631153</v>
      </c>
      <c r="J333" s="18" cm="1">
        <f t="array" ref="J333">IF(Q333&lt;&gt;0, HEX2DEC(Reverse(Q333))-$I333,"")</f>
        <v>142</v>
      </c>
      <c r="K333" s="18" cm="1">
        <f t="array" ref="K333">IF(R333&lt;&gt;0, HEX2DEC(Reverse(R333))-$I333,"")</f>
        <v>19</v>
      </c>
      <c r="L333" s="18" cm="1">
        <f t="array" ref="L333">IF(S333&lt;&gt;0, HEX2DEC(Reverse(S333))-$I333,"")</f>
        <v>143</v>
      </c>
      <c r="M333" s="18" cm="1">
        <f t="array" ref="M333">IF(T333&lt;&gt;0, HEX2DEC(Reverse(T333))-$I333,"")</f>
        <v>20</v>
      </c>
      <c r="O333" s="3">
        <v>1010100</v>
      </c>
      <c r="P333" s="3" t="s">
        <v>114</v>
      </c>
      <c r="Q333" s="3" t="s">
        <v>1239</v>
      </c>
      <c r="R333" s="30" t="s">
        <v>150</v>
      </c>
      <c r="S333" s="3" t="s">
        <v>1241</v>
      </c>
      <c r="T333" s="3" t="s">
        <v>152</v>
      </c>
      <c r="U333" s="3">
        <v>31313131</v>
      </c>
      <c r="V333" s="4" t="s">
        <v>1242</v>
      </c>
    </row>
    <row r="334" spans="1:22" x14ac:dyDescent="0.2">
      <c r="A334" s="16" t="s">
        <v>422</v>
      </c>
      <c r="B334" s="16">
        <v>3189</v>
      </c>
      <c r="C334" s="15" t="s">
        <v>2</v>
      </c>
      <c r="D334" s="15" t="s">
        <v>1</v>
      </c>
      <c r="E334" s="15" t="s">
        <v>92</v>
      </c>
      <c r="F334" s="15" t="s">
        <v>856</v>
      </c>
      <c r="G334" s="15"/>
      <c r="H334" s="17" t="str" cm="1">
        <f t="array" ref="H334">Reverse2_6(O334)</f>
        <v>00-010101</v>
      </c>
      <c r="I334" s="18" cm="1">
        <f t="array" ref="I334">HEX2DEC(Reverse(P334))</f>
        <v>93631153</v>
      </c>
      <c r="J334" s="18" cm="1">
        <f t="array" ref="J334">IF(Q334&lt;&gt;0, HEX2DEC(Reverse(Q334))-$I334,"")</f>
        <v>143</v>
      </c>
      <c r="K334" s="18" cm="1">
        <f t="array" ref="K334">IF(R334&lt;&gt;0, HEX2DEC(Reverse(R334))-$I334,"")</f>
        <v>19</v>
      </c>
      <c r="L334" s="18" cm="1">
        <f t="array" ref="L334">IF(S334&lt;&gt;0, HEX2DEC(Reverse(S334))-$I334,"")</f>
        <v>144</v>
      </c>
      <c r="M334" s="18" cm="1">
        <f t="array" ref="M334">IF(T334&lt;&gt;0, HEX2DEC(Reverse(T334))-$I334,"")</f>
        <v>20</v>
      </c>
      <c r="O334" s="3">
        <v>1010100</v>
      </c>
      <c r="P334" s="3" t="s">
        <v>114</v>
      </c>
      <c r="Q334" s="3" t="s">
        <v>1241</v>
      </c>
      <c r="R334" s="30" t="s">
        <v>150</v>
      </c>
      <c r="S334" s="3" t="s">
        <v>1243</v>
      </c>
      <c r="T334" s="3" t="s">
        <v>152</v>
      </c>
      <c r="U334" s="3" t="s">
        <v>1244</v>
      </c>
      <c r="V334" s="4" t="s">
        <v>1245</v>
      </c>
    </row>
    <row r="335" spans="1:22" x14ac:dyDescent="0.2">
      <c r="A335" s="20" t="s">
        <v>423</v>
      </c>
      <c r="B335" s="20">
        <v>3190</v>
      </c>
      <c r="C335" s="21" t="s">
        <v>1</v>
      </c>
      <c r="D335" s="21" t="s">
        <v>2</v>
      </c>
      <c r="E335" s="21" t="s">
        <v>90</v>
      </c>
      <c r="F335" s="21" t="s">
        <v>94</v>
      </c>
      <c r="G335" s="21" t="s">
        <v>1778</v>
      </c>
      <c r="H335" s="22" t="str" cm="1">
        <f t="array" ref="H335">Reverse2_6(O335)</f>
        <v>00-010201</v>
      </c>
      <c r="I335" s="45" cm="1">
        <f t="array" ref="I335">HEX2DEC(Reverse(P335))</f>
        <v>93631153</v>
      </c>
      <c r="J335" s="45" cm="1">
        <f t="array" ref="J335">IF(Q335&lt;&gt;0, HEX2DEC(Reverse(Q335))-$I335,"")</f>
        <v>19</v>
      </c>
      <c r="K335" s="45" cm="1">
        <f t="array" ref="K335">IF(R335&lt;&gt;0, HEX2DEC(Reverse(R335))-$I335,"")</f>
        <v>142</v>
      </c>
      <c r="L335" s="45" t="str" cm="1">
        <f t="array" ref="L335">IF(S335&lt;&gt;0, HEX2DEC(Reverse(S335))-$I335,"")</f>
        <v/>
      </c>
      <c r="M335" s="45" cm="1">
        <f t="array" ref="M335">IF(T335&lt;&gt;0, HEX2DEC(Reverse(T335))-$I335,"")</f>
        <v>143</v>
      </c>
      <c r="O335" s="3">
        <v>1020100</v>
      </c>
      <c r="P335" s="3" t="s">
        <v>114</v>
      </c>
      <c r="Q335" s="3" t="s">
        <v>150</v>
      </c>
      <c r="R335" s="3" t="s">
        <v>1239</v>
      </c>
      <c r="S335" s="3">
        <v>0</v>
      </c>
      <c r="T335" s="3" t="s">
        <v>1241</v>
      </c>
      <c r="U335" s="3"/>
      <c r="V335" s="4"/>
    </row>
    <row r="336" spans="1:22" x14ac:dyDescent="0.2">
      <c r="A336" s="20" t="s">
        <v>424</v>
      </c>
      <c r="B336" s="20">
        <v>3191</v>
      </c>
      <c r="C336" s="21" t="s">
        <v>1</v>
      </c>
      <c r="D336" s="21" t="s">
        <v>2</v>
      </c>
      <c r="E336" s="21" t="s">
        <v>90</v>
      </c>
      <c r="F336" s="21" t="s">
        <v>94</v>
      </c>
      <c r="G336" s="21" t="s">
        <v>1778</v>
      </c>
      <c r="H336" s="22" t="str" cm="1">
        <f t="array" ref="H336">Reverse2_6(O336)</f>
        <v>00-010201</v>
      </c>
      <c r="I336" s="45" cm="1">
        <f t="array" ref="I336">HEX2DEC(Reverse(P336))</f>
        <v>93631153</v>
      </c>
      <c r="J336" s="45" cm="1">
        <f t="array" ref="J336">IF(Q336&lt;&gt;0, HEX2DEC(Reverse(Q336))-$I336,"")</f>
        <v>19</v>
      </c>
      <c r="K336" s="45" cm="1">
        <f t="array" ref="K336">IF(R336&lt;&gt;0, HEX2DEC(Reverse(R336))-$I336,"")</f>
        <v>143</v>
      </c>
      <c r="L336" s="45" t="str" cm="1">
        <f t="array" ref="L336">IF(S336&lt;&gt;0, HEX2DEC(Reverse(S336))-$I336,"")</f>
        <v/>
      </c>
      <c r="M336" s="45" cm="1">
        <f t="array" ref="M336">IF(T336&lt;&gt;0, HEX2DEC(Reverse(T336))-$I336,"")</f>
        <v>144</v>
      </c>
      <c r="O336" s="3">
        <v>1020100</v>
      </c>
      <c r="P336" s="3" t="s">
        <v>114</v>
      </c>
      <c r="Q336" s="3" t="s">
        <v>150</v>
      </c>
      <c r="R336" s="3" t="s">
        <v>1241</v>
      </c>
      <c r="S336" s="3">
        <v>0</v>
      </c>
      <c r="T336" s="3" t="s">
        <v>1243</v>
      </c>
      <c r="U336" s="3"/>
      <c r="V336" s="4"/>
    </row>
    <row r="337" spans="1:22" x14ac:dyDescent="0.2">
      <c r="A337" s="16" t="s">
        <v>425</v>
      </c>
      <c r="B337" s="16">
        <v>3202</v>
      </c>
      <c r="C337" s="15" t="s">
        <v>2</v>
      </c>
      <c r="D337" s="15" t="s">
        <v>1</v>
      </c>
      <c r="E337" s="15" t="s">
        <v>92</v>
      </c>
      <c r="F337" s="15" t="s">
        <v>96</v>
      </c>
      <c r="G337" s="15"/>
      <c r="H337" s="17" t="str" cm="1">
        <f t="array" ref="H337">Reverse2_6(O337)</f>
        <v>00-010101</v>
      </c>
      <c r="I337" s="18" cm="1">
        <f t="array" ref="I337">HEX2DEC(Reverse(P337))</f>
        <v>93631153</v>
      </c>
      <c r="J337" s="18" cm="1">
        <f t="array" ref="J337">IF(Q337&lt;&gt;0, HEX2DEC(Reverse(Q337))-$I337,"")</f>
        <v>144</v>
      </c>
      <c r="K337" s="18" cm="1">
        <f t="array" ref="K337">IF(R337&lt;&gt;0, HEX2DEC(Reverse(R337))-$I337,"")</f>
        <v>19</v>
      </c>
      <c r="L337" s="18" cm="1">
        <f t="array" ref="L337">IF(S337&lt;&gt;0, HEX2DEC(Reverse(S337))-$I337,"")</f>
        <v>145</v>
      </c>
      <c r="M337" s="18" cm="1">
        <f t="array" ref="M337">IF(T337&lt;&gt;0, HEX2DEC(Reverse(T337))-$I337,"")</f>
        <v>20</v>
      </c>
      <c r="O337" s="3">
        <v>1010100</v>
      </c>
      <c r="P337" s="3" t="s">
        <v>114</v>
      </c>
      <c r="Q337" s="3" t="s">
        <v>1243</v>
      </c>
      <c r="R337" s="30" t="s">
        <v>150</v>
      </c>
      <c r="S337" s="3" t="s">
        <v>1246</v>
      </c>
      <c r="T337" s="3" t="s">
        <v>152</v>
      </c>
      <c r="U337" s="3">
        <v>31313131</v>
      </c>
      <c r="V337" s="4" t="s">
        <v>151</v>
      </c>
    </row>
    <row r="338" spans="1:22" x14ac:dyDescent="0.2">
      <c r="A338" s="20" t="s">
        <v>426</v>
      </c>
      <c r="B338" s="20">
        <v>3203</v>
      </c>
      <c r="C338" s="21" t="s">
        <v>1</v>
      </c>
      <c r="D338" s="21" t="s">
        <v>2</v>
      </c>
      <c r="E338" s="21" t="s">
        <v>90</v>
      </c>
      <c r="F338" s="21" t="s">
        <v>94</v>
      </c>
      <c r="G338" s="21" t="s">
        <v>1778</v>
      </c>
      <c r="H338" s="22" t="str" cm="1">
        <f t="array" ref="H338">Reverse2_6(O338)</f>
        <v>00-010201</v>
      </c>
      <c r="I338" s="45" cm="1">
        <f t="array" ref="I338">HEX2DEC(Reverse(P338))</f>
        <v>93631153</v>
      </c>
      <c r="J338" s="45" cm="1">
        <f t="array" ref="J338">IF(Q338&lt;&gt;0, HEX2DEC(Reverse(Q338))-$I338,"")</f>
        <v>19</v>
      </c>
      <c r="K338" s="45" cm="1">
        <f t="array" ref="K338">IF(R338&lt;&gt;0, HEX2DEC(Reverse(R338))-$I338,"")</f>
        <v>144</v>
      </c>
      <c r="L338" s="45" t="str" cm="1">
        <f t="array" ref="L338">IF(S338&lt;&gt;0, HEX2DEC(Reverse(S338))-$I338,"")</f>
        <v/>
      </c>
      <c r="M338" s="45" cm="1">
        <f t="array" ref="M338">IF(T338&lt;&gt;0, HEX2DEC(Reverse(T338))-$I338,"")</f>
        <v>145</v>
      </c>
      <c r="O338" s="3">
        <v>1020100</v>
      </c>
      <c r="P338" s="3" t="s">
        <v>114</v>
      </c>
      <c r="Q338" s="3" t="s">
        <v>150</v>
      </c>
      <c r="R338" s="3" t="s">
        <v>1243</v>
      </c>
      <c r="S338" s="3">
        <v>0</v>
      </c>
      <c r="T338" s="3" t="s">
        <v>1246</v>
      </c>
      <c r="U338" s="3"/>
      <c r="V338" s="4"/>
    </row>
    <row r="339" spans="1:22" x14ac:dyDescent="0.2">
      <c r="A339" s="16" t="s">
        <v>427</v>
      </c>
      <c r="B339" s="16">
        <v>3204</v>
      </c>
      <c r="C339" s="15" t="s">
        <v>2</v>
      </c>
      <c r="D339" s="15" t="s">
        <v>1</v>
      </c>
      <c r="E339" s="15" t="s">
        <v>92</v>
      </c>
      <c r="F339" s="15" t="s">
        <v>96</v>
      </c>
      <c r="G339" s="15"/>
      <c r="H339" s="17" t="str" cm="1">
        <f t="array" ref="H339">Reverse2_6(O339)</f>
        <v>00-010101</v>
      </c>
      <c r="I339" s="18" cm="1">
        <f t="array" ref="I339">HEX2DEC(Reverse(P339))</f>
        <v>93631153</v>
      </c>
      <c r="J339" s="18" cm="1">
        <f t="array" ref="J339">IF(Q339&lt;&gt;0, HEX2DEC(Reverse(Q339))-$I339,"")</f>
        <v>145</v>
      </c>
      <c r="K339" s="18" cm="1">
        <f t="array" ref="K339">IF(R339&lt;&gt;0, HEX2DEC(Reverse(R339))-$I339,"")</f>
        <v>19</v>
      </c>
      <c r="L339" s="18" cm="1">
        <f t="array" ref="L339">IF(S339&lt;&gt;0, HEX2DEC(Reverse(S339))-$I339,"")</f>
        <v>146</v>
      </c>
      <c r="M339" s="18" cm="1">
        <f t="array" ref="M339">IF(T339&lt;&gt;0, HEX2DEC(Reverse(T339))-$I339,"")</f>
        <v>20</v>
      </c>
      <c r="O339" s="3">
        <v>1010100</v>
      </c>
      <c r="P339" s="3" t="s">
        <v>114</v>
      </c>
      <c r="Q339" s="3" t="s">
        <v>1246</v>
      </c>
      <c r="R339" s="30" t="s">
        <v>150</v>
      </c>
      <c r="S339" s="3" t="s">
        <v>1247</v>
      </c>
      <c r="T339" s="3" t="s">
        <v>152</v>
      </c>
      <c r="U339" s="3" t="s">
        <v>1248</v>
      </c>
      <c r="V339" s="4" t="s">
        <v>1249</v>
      </c>
    </row>
    <row r="340" spans="1:22" x14ac:dyDescent="0.2">
      <c r="A340" s="16" t="s">
        <v>428</v>
      </c>
      <c r="B340" s="16">
        <v>3205</v>
      </c>
      <c r="C340" s="15" t="s">
        <v>2</v>
      </c>
      <c r="D340" s="15" t="s">
        <v>1</v>
      </c>
      <c r="E340" s="15" t="s">
        <v>92</v>
      </c>
      <c r="F340" s="15" t="s">
        <v>857</v>
      </c>
      <c r="G340" s="15"/>
      <c r="H340" s="17" t="str" cm="1">
        <f t="array" ref="H340">Reverse2_6(O340)</f>
        <v>00-010101</v>
      </c>
      <c r="I340" s="18" cm="1">
        <f t="array" ref="I340">HEX2DEC(Reverse(P340))</f>
        <v>93631153</v>
      </c>
      <c r="J340" s="18" cm="1">
        <f t="array" ref="J340">IF(Q340&lt;&gt;0, HEX2DEC(Reverse(Q340))-$I340,"")</f>
        <v>146</v>
      </c>
      <c r="K340" s="18" cm="1">
        <f t="array" ref="K340">IF(R340&lt;&gt;0, HEX2DEC(Reverse(R340))-$I340,"")</f>
        <v>19</v>
      </c>
      <c r="L340" s="18" cm="1">
        <f t="array" ref="L340">IF(S340&lt;&gt;0, HEX2DEC(Reverse(S340))-$I340,"")</f>
        <v>147</v>
      </c>
      <c r="M340" s="18" cm="1">
        <f t="array" ref="M340">IF(T340&lt;&gt;0, HEX2DEC(Reverse(T340))-$I340,"")</f>
        <v>20</v>
      </c>
      <c r="O340" s="3">
        <v>1010100</v>
      </c>
      <c r="P340" s="3" t="s">
        <v>114</v>
      </c>
      <c r="Q340" s="3" t="s">
        <v>1247</v>
      </c>
      <c r="R340" s="30" t="s">
        <v>150</v>
      </c>
      <c r="S340" s="3" t="s">
        <v>1250</v>
      </c>
      <c r="T340" s="3" t="s">
        <v>152</v>
      </c>
      <c r="U340" s="3" t="s">
        <v>1251</v>
      </c>
      <c r="V340" s="4" t="s">
        <v>1252</v>
      </c>
    </row>
    <row r="341" spans="1:22" x14ac:dyDescent="0.2">
      <c r="A341" s="20" t="s">
        <v>429</v>
      </c>
      <c r="B341" s="20">
        <v>3206</v>
      </c>
      <c r="C341" s="21" t="s">
        <v>1</v>
      </c>
      <c r="D341" s="21" t="s">
        <v>2</v>
      </c>
      <c r="E341" s="21" t="s">
        <v>90</v>
      </c>
      <c r="F341" s="21" t="s">
        <v>94</v>
      </c>
      <c r="G341" s="21" t="s">
        <v>1778</v>
      </c>
      <c r="H341" s="22" t="str" cm="1">
        <f t="array" ref="H341">Reverse2_6(O341)</f>
        <v>00-010201</v>
      </c>
      <c r="I341" s="45" cm="1">
        <f t="array" ref="I341">HEX2DEC(Reverse(P341))</f>
        <v>93631153</v>
      </c>
      <c r="J341" s="45" cm="1">
        <f t="array" ref="J341">IF(Q341&lt;&gt;0, HEX2DEC(Reverse(Q341))-$I341,"")</f>
        <v>19</v>
      </c>
      <c r="K341" s="45" cm="1">
        <f t="array" ref="K341">IF(R341&lt;&gt;0, HEX2DEC(Reverse(R341))-$I341,"")</f>
        <v>145</v>
      </c>
      <c r="L341" s="45" t="str" cm="1">
        <f t="array" ref="L341">IF(S341&lt;&gt;0, HEX2DEC(Reverse(S341))-$I341,"")</f>
        <v/>
      </c>
      <c r="M341" s="45" cm="1">
        <f t="array" ref="M341">IF(T341&lt;&gt;0, HEX2DEC(Reverse(T341))-$I341,"")</f>
        <v>146</v>
      </c>
      <c r="O341" s="3">
        <v>1020100</v>
      </c>
      <c r="P341" s="3" t="s">
        <v>114</v>
      </c>
      <c r="Q341" s="3" t="s">
        <v>150</v>
      </c>
      <c r="R341" s="3" t="s">
        <v>1246</v>
      </c>
      <c r="S341" s="3">
        <v>0</v>
      </c>
      <c r="T341" s="3" t="s">
        <v>1247</v>
      </c>
      <c r="U341" s="3"/>
      <c r="V341" s="4"/>
    </row>
    <row r="342" spans="1:22" x14ac:dyDescent="0.2">
      <c r="A342" s="20" t="s">
        <v>430</v>
      </c>
      <c r="B342" s="20">
        <v>3207</v>
      </c>
      <c r="C342" s="21" t="s">
        <v>1</v>
      </c>
      <c r="D342" s="21" t="s">
        <v>2</v>
      </c>
      <c r="E342" s="21" t="s">
        <v>90</v>
      </c>
      <c r="F342" s="21" t="s">
        <v>94</v>
      </c>
      <c r="G342" s="21" t="s">
        <v>1778</v>
      </c>
      <c r="H342" s="22" t="str" cm="1">
        <f t="array" ref="H342">Reverse2_6(O342)</f>
        <v>00-010201</v>
      </c>
      <c r="I342" s="45" cm="1">
        <f t="array" ref="I342">HEX2DEC(Reverse(P342))</f>
        <v>93631153</v>
      </c>
      <c r="J342" s="45" cm="1">
        <f t="array" ref="J342">IF(Q342&lt;&gt;0, HEX2DEC(Reverse(Q342))-$I342,"")</f>
        <v>19</v>
      </c>
      <c r="K342" s="45" cm="1">
        <f t="array" ref="K342">IF(R342&lt;&gt;0, HEX2DEC(Reverse(R342))-$I342,"")</f>
        <v>146</v>
      </c>
      <c r="L342" s="45" t="str" cm="1">
        <f t="array" ref="L342">IF(S342&lt;&gt;0, HEX2DEC(Reverse(S342))-$I342,"")</f>
        <v/>
      </c>
      <c r="M342" s="45" cm="1">
        <f t="array" ref="M342">IF(T342&lt;&gt;0, HEX2DEC(Reverse(T342))-$I342,"")</f>
        <v>147</v>
      </c>
      <c r="O342" s="3">
        <v>1020100</v>
      </c>
      <c r="P342" s="3" t="s">
        <v>114</v>
      </c>
      <c r="Q342" s="3" t="s">
        <v>150</v>
      </c>
      <c r="R342" s="3" t="s">
        <v>1247</v>
      </c>
      <c r="S342" s="3">
        <v>0</v>
      </c>
      <c r="T342" s="3" t="s">
        <v>1250</v>
      </c>
      <c r="U342" s="3"/>
      <c r="V342" s="4"/>
    </row>
    <row r="343" spans="1:22" x14ac:dyDescent="0.2">
      <c r="A343" s="16" t="s">
        <v>431</v>
      </c>
      <c r="B343" s="16">
        <v>3208</v>
      </c>
      <c r="C343" s="15" t="s">
        <v>2</v>
      </c>
      <c r="D343" s="15" t="s">
        <v>1</v>
      </c>
      <c r="E343" s="15" t="s">
        <v>92</v>
      </c>
      <c r="F343" s="15" t="s">
        <v>96</v>
      </c>
      <c r="G343" s="15"/>
      <c r="H343" s="17" t="str" cm="1">
        <f t="array" ref="H343">Reverse2_6(O343)</f>
        <v>00-010101</v>
      </c>
      <c r="I343" s="18" cm="1">
        <f t="array" ref="I343">HEX2DEC(Reverse(P343))</f>
        <v>93631153</v>
      </c>
      <c r="J343" s="18" cm="1">
        <f t="array" ref="J343">IF(Q343&lt;&gt;0, HEX2DEC(Reverse(Q343))-$I343,"")</f>
        <v>147</v>
      </c>
      <c r="K343" s="18" cm="1">
        <f t="array" ref="K343">IF(R343&lt;&gt;0, HEX2DEC(Reverse(R343))-$I343,"")</f>
        <v>19</v>
      </c>
      <c r="L343" s="18" cm="1">
        <f t="array" ref="L343">IF(S343&lt;&gt;0, HEX2DEC(Reverse(S343))-$I343,"")</f>
        <v>148</v>
      </c>
      <c r="M343" s="18" cm="1">
        <f t="array" ref="M343">IF(T343&lt;&gt;0, HEX2DEC(Reverse(T343))-$I343,"")</f>
        <v>20</v>
      </c>
      <c r="O343" s="3">
        <v>1010100</v>
      </c>
      <c r="P343" s="3" t="s">
        <v>114</v>
      </c>
      <c r="Q343" s="3" t="s">
        <v>1250</v>
      </c>
      <c r="R343" s="30" t="s">
        <v>150</v>
      </c>
      <c r="S343" s="3" t="s">
        <v>1253</v>
      </c>
      <c r="T343" s="3" t="s">
        <v>152</v>
      </c>
      <c r="U343" s="3">
        <v>31313131</v>
      </c>
      <c r="V343" s="4" t="s">
        <v>1254</v>
      </c>
    </row>
    <row r="344" spans="1:22" x14ac:dyDescent="0.2">
      <c r="A344" s="16" t="s">
        <v>432</v>
      </c>
      <c r="B344" s="16">
        <v>3209</v>
      </c>
      <c r="C344" s="15" t="s">
        <v>2</v>
      </c>
      <c r="D344" s="15" t="s">
        <v>1</v>
      </c>
      <c r="E344" s="15" t="s">
        <v>92</v>
      </c>
      <c r="F344" s="15" t="s">
        <v>858</v>
      </c>
      <c r="G344" s="15"/>
      <c r="H344" s="17" t="str" cm="1">
        <f t="array" ref="H344">Reverse2_6(O344)</f>
        <v>00-010101</v>
      </c>
      <c r="I344" s="18" cm="1">
        <f t="array" ref="I344">HEX2DEC(Reverse(P344))</f>
        <v>93631153</v>
      </c>
      <c r="J344" s="18" cm="1">
        <f t="array" ref="J344">IF(Q344&lt;&gt;0, HEX2DEC(Reverse(Q344))-$I344,"")</f>
        <v>148</v>
      </c>
      <c r="K344" s="18" cm="1">
        <f t="array" ref="K344">IF(R344&lt;&gt;0, HEX2DEC(Reverse(R344))-$I344,"")</f>
        <v>19</v>
      </c>
      <c r="L344" s="18" cm="1">
        <f t="array" ref="L344">IF(S344&lt;&gt;0, HEX2DEC(Reverse(S344))-$I344,"")</f>
        <v>149</v>
      </c>
      <c r="M344" s="18" cm="1">
        <f t="array" ref="M344">IF(T344&lt;&gt;0, HEX2DEC(Reverse(T344))-$I344,"")</f>
        <v>20</v>
      </c>
      <c r="O344" s="3">
        <v>1010100</v>
      </c>
      <c r="P344" s="3" t="s">
        <v>114</v>
      </c>
      <c r="Q344" s="3" t="s">
        <v>1253</v>
      </c>
      <c r="R344" s="30" t="s">
        <v>150</v>
      </c>
      <c r="S344" s="3" t="s">
        <v>1255</v>
      </c>
      <c r="T344" s="3" t="s">
        <v>152</v>
      </c>
      <c r="U344" s="3" t="s">
        <v>1256</v>
      </c>
      <c r="V344" s="4" t="s">
        <v>1257</v>
      </c>
    </row>
    <row r="345" spans="1:22" x14ac:dyDescent="0.2">
      <c r="A345" s="20" t="s">
        <v>433</v>
      </c>
      <c r="B345" s="20">
        <v>3210</v>
      </c>
      <c r="C345" s="21" t="s">
        <v>1</v>
      </c>
      <c r="D345" s="21" t="s">
        <v>2</v>
      </c>
      <c r="E345" s="21" t="s">
        <v>90</v>
      </c>
      <c r="F345" s="21" t="s">
        <v>94</v>
      </c>
      <c r="G345" s="21" t="s">
        <v>1778</v>
      </c>
      <c r="H345" s="22" t="str" cm="1">
        <f t="array" ref="H345">Reverse2_6(O345)</f>
        <v>00-010201</v>
      </c>
      <c r="I345" s="45" cm="1">
        <f t="array" ref="I345">HEX2DEC(Reverse(P345))</f>
        <v>93631153</v>
      </c>
      <c r="J345" s="45" cm="1">
        <f t="array" ref="J345">IF(Q345&lt;&gt;0, HEX2DEC(Reverse(Q345))-$I345,"")</f>
        <v>19</v>
      </c>
      <c r="K345" s="45" cm="1">
        <f t="array" ref="K345">IF(R345&lt;&gt;0, HEX2DEC(Reverse(R345))-$I345,"")</f>
        <v>147</v>
      </c>
      <c r="L345" s="45" t="str" cm="1">
        <f t="array" ref="L345">IF(S345&lt;&gt;0, HEX2DEC(Reverse(S345))-$I345,"")</f>
        <v/>
      </c>
      <c r="M345" s="45" cm="1">
        <f t="array" ref="M345">IF(T345&lt;&gt;0, HEX2DEC(Reverse(T345))-$I345,"")</f>
        <v>148</v>
      </c>
      <c r="O345" s="3">
        <v>1020100</v>
      </c>
      <c r="P345" s="3" t="s">
        <v>114</v>
      </c>
      <c r="Q345" s="3" t="s">
        <v>150</v>
      </c>
      <c r="R345" s="3" t="s">
        <v>1250</v>
      </c>
      <c r="S345" s="3">
        <v>0</v>
      </c>
      <c r="T345" s="3" t="s">
        <v>1253</v>
      </c>
      <c r="U345" s="3"/>
      <c r="V345" s="4"/>
    </row>
    <row r="346" spans="1:22" x14ac:dyDescent="0.2">
      <c r="A346" s="20" t="s">
        <v>434</v>
      </c>
      <c r="B346" s="20">
        <v>3211</v>
      </c>
      <c r="C346" s="21" t="s">
        <v>1</v>
      </c>
      <c r="D346" s="21" t="s">
        <v>2</v>
      </c>
      <c r="E346" s="21" t="s">
        <v>90</v>
      </c>
      <c r="F346" s="21" t="s">
        <v>94</v>
      </c>
      <c r="G346" s="21" t="s">
        <v>1778</v>
      </c>
      <c r="H346" s="22" t="str" cm="1">
        <f t="array" ref="H346">Reverse2_6(O346)</f>
        <v>00-010201</v>
      </c>
      <c r="I346" s="45" cm="1">
        <f t="array" ref="I346">HEX2DEC(Reverse(P346))</f>
        <v>93631153</v>
      </c>
      <c r="J346" s="45" cm="1">
        <f t="array" ref="J346">IF(Q346&lt;&gt;0, HEX2DEC(Reverse(Q346))-$I346,"")</f>
        <v>19</v>
      </c>
      <c r="K346" s="45" cm="1">
        <f t="array" ref="K346">IF(R346&lt;&gt;0, HEX2DEC(Reverse(R346))-$I346,"")</f>
        <v>148</v>
      </c>
      <c r="L346" s="45" t="str" cm="1">
        <f t="array" ref="L346">IF(S346&lt;&gt;0, HEX2DEC(Reverse(S346))-$I346,"")</f>
        <v/>
      </c>
      <c r="M346" s="45" cm="1">
        <f t="array" ref="M346">IF(T346&lt;&gt;0, HEX2DEC(Reverse(T346))-$I346,"")</f>
        <v>149</v>
      </c>
      <c r="O346" s="3">
        <v>1020100</v>
      </c>
      <c r="P346" s="3" t="s">
        <v>114</v>
      </c>
      <c r="Q346" s="3" t="s">
        <v>150</v>
      </c>
      <c r="R346" s="3" t="s">
        <v>1253</v>
      </c>
      <c r="S346" s="3">
        <v>0</v>
      </c>
      <c r="T346" s="3" t="s">
        <v>1255</v>
      </c>
      <c r="U346" s="3"/>
      <c r="V346" s="4"/>
    </row>
    <row r="347" spans="1:22" x14ac:dyDescent="0.2">
      <c r="A347" s="16" t="s">
        <v>435</v>
      </c>
      <c r="B347" s="16">
        <v>3220</v>
      </c>
      <c r="C347" s="15" t="s">
        <v>2</v>
      </c>
      <c r="D347" s="15" t="s">
        <v>1</v>
      </c>
      <c r="E347" s="15" t="s">
        <v>92</v>
      </c>
      <c r="F347" s="15" t="s">
        <v>96</v>
      </c>
      <c r="G347" s="15"/>
      <c r="H347" s="17" t="str" cm="1">
        <f t="array" ref="H347">Reverse2_6(O347)</f>
        <v>00-010101</v>
      </c>
      <c r="I347" s="18" cm="1">
        <f t="array" ref="I347">HEX2DEC(Reverse(P347))</f>
        <v>93631153</v>
      </c>
      <c r="J347" s="18" cm="1">
        <f t="array" ref="J347">IF(Q347&lt;&gt;0, HEX2DEC(Reverse(Q347))-$I347,"")</f>
        <v>149</v>
      </c>
      <c r="K347" s="18" cm="1">
        <f t="array" ref="K347">IF(R347&lt;&gt;0, HEX2DEC(Reverse(R347))-$I347,"")</f>
        <v>19</v>
      </c>
      <c r="L347" s="18" cm="1">
        <f t="array" ref="L347">IF(S347&lt;&gt;0, HEX2DEC(Reverse(S347))-$I347,"")</f>
        <v>150</v>
      </c>
      <c r="M347" s="18" cm="1">
        <f t="array" ref="M347">IF(T347&lt;&gt;0, HEX2DEC(Reverse(T347))-$I347,"")</f>
        <v>20</v>
      </c>
      <c r="O347" s="3">
        <v>1010100</v>
      </c>
      <c r="P347" s="3" t="s">
        <v>114</v>
      </c>
      <c r="Q347" s="3" t="s">
        <v>1255</v>
      </c>
      <c r="R347" s="30" t="s">
        <v>150</v>
      </c>
      <c r="S347" s="3" t="s">
        <v>1258</v>
      </c>
      <c r="T347" s="3" t="s">
        <v>152</v>
      </c>
      <c r="U347" s="3">
        <v>31313131</v>
      </c>
      <c r="V347" s="4" t="s">
        <v>1259</v>
      </c>
    </row>
    <row r="348" spans="1:22" x14ac:dyDescent="0.2">
      <c r="A348" s="20" t="s">
        <v>436</v>
      </c>
      <c r="B348" s="20">
        <v>3221</v>
      </c>
      <c r="C348" s="21" t="s">
        <v>1</v>
      </c>
      <c r="D348" s="21" t="s">
        <v>2</v>
      </c>
      <c r="E348" s="21" t="s">
        <v>90</v>
      </c>
      <c r="F348" s="21" t="s">
        <v>94</v>
      </c>
      <c r="G348" s="21" t="s">
        <v>1778</v>
      </c>
      <c r="H348" s="22" t="str" cm="1">
        <f t="array" ref="H348">Reverse2_6(O348)</f>
        <v>00-010201</v>
      </c>
      <c r="I348" s="45" cm="1">
        <f t="array" ref="I348">HEX2DEC(Reverse(P348))</f>
        <v>93631153</v>
      </c>
      <c r="J348" s="45" cm="1">
        <f t="array" ref="J348">IF(Q348&lt;&gt;0, HEX2DEC(Reverse(Q348))-$I348,"")</f>
        <v>19</v>
      </c>
      <c r="K348" s="45" cm="1">
        <f t="array" ref="K348">IF(R348&lt;&gt;0, HEX2DEC(Reverse(R348))-$I348,"")</f>
        <v>149</v>
      </c>
      <c r="L348" s="45" t="str" cm="1">
        <f t="array" ref="L348">IF(S348&lt;&gt;0, HEX2DEC(Reverse(S348))-$I348,"")</f>
        <v/>
      </c>
      <c r="M348" s="45" cm="1">
        <f t="array" ref="M348">IF(T348&lt;&gt;0, HEX2DEC(Reverse(T348))-$I348,"")</f>
        <v>150</v>
      </c>
      <c r="O348" s="3">
        <v>1020100</v>
      </c>
      <c r="P348" s="3" t="s">
        <v>114</v>
      </c>
      <c r="Q348" s="3" t="s">
        <v>150</v>
      </c>
      <c r="R348" s="3" t="s">
        <v>1255</v>
      </c>
      <c r="S348" s="3">
        <v>0</v>
      </c>
      <c r="T348" s="3" t="s">
        <v>1258</v>
      </c>
      <c r="U348" s="3"/>
      <c r="V348" s="4"/>
    </row>
    <row r="349" spans="1:22" x14ac:dyDescent="0.2">
      <c r="A349" s="16" t="s">
        <v>437</v>
      </c>
      <c r="B349" s="16">
        <v>3223</v>
      </c>
      <c r="C349" s="15" t="s">
        <v>2</v>
      </c>
      <c r="D349" s="15" t="s">
        <v>1</v>
      </c>
      <c r="E349" s="15" t="s">
        <v>92</v>
      </c>
      <c r="F349" s="15" t="s">
        <v>96</v>
      </c>
      <c r="G349" s="15"/>
      <c r="H349" s="17" t="str" cm="1">
        <f t="array" ref="H349">Reverse2_6(O349)</f>
        <v>00-010101</v>
      </c>
      <c r="I349" s="18" cm="1">
        <f t="array" ref="I349">HEX2DEC(Reverse(P349))</f>
        <v>93631153</v>
      </c>
      <c r="J349" s="18" cm="1">
        <f t="array" ref="J349">IF(Q349&lt;&gt;0, HEX2DEC(Reverse(Q349))-$I349,"")</f>
        <v>150</v>
      </c>
      <c r="K349" s="18" cm="1">
        <f t="array" ref="K349">IF(R349&lt;&gt;0, HEX2DEC(Reverse(R349))-$I349,"")</f>
        <v>19</v>
      </c>
      <c r="L349" s="18" cm="1">
        <f t="array" ref="L349">IF(S349&lt;&gt;0, HEX2DEC(Reverse(S349))-$I349,"")</f>
        <v>151</v>
      </c>
      <c r="M349" s="18" cm="1">
        <f t="array" ref="M349">IF(T349&lt;&gt;0, HEX2DEC(Reverse(T349))-$I349,"")</f>
        <v>20</v>
      </c>
      <c r="O349" s="3">
        <v>1010100</v>
      </c>
      <c r="P349" s="3" t="s">
        <v>114</v>
      </c>
      <c r="Q349" s="3" t="s">
        <v>1258</v>
      </c>
      <c r="R349" s="30" t="s">
        <v>150</v>
      </c>
      <c r="S349" s="3" t="s">
        <v>1260</v>
      </c>
      <c r="T349" s="3" t="s">
        <v>152</v>
      </c>
      <c r="U349" s="3" t="s">
        <v>1261</v>
      </c>
      <c r="V349" s="4" t="s">
        <v>1262</v>
      </c>
    </row>
    <row r="350" spans="1:22" x14ac:dyDescent="0.2">
      <c r="A350" s="16" t="s">
        <v>438</v>
      </c>
      <c r="B350" s="16">
        <v>3224</v>
      </c>
      <c r="C350" s="15" t="s">
        <v>2</v>
      </c>
      <c r="D350" s="15" t="s">
        <v>1</v>
      </c>
      <c r="E350" s="15" t="s">
        <v>92</v>
      </c>
      <c r="F350" s="15" t="s">
        <v>859</v>
      </c>
      <c r="G350" s="15"/>
      <c r="H350" s="17" t="str" cm="1">
        <f t="array" ref="H350">Reverse2_6(O350)</f>
        <v>00-010101</v>
      </c>
      <c r="I350" s="18" cm="1">
        <f t="array" ref="I350">HEX2DEC(Reverse(P350))</f>
        <v>93631153</v>
      </c>
      <c r="J350" s="18" cm="1">
        <f t="array" ref="J350">IF(Q350&lt;&gt;0, HEX2DEC(Reverse(Q350))-$I350,"")</f>
        <v>151</v>
      </c>
      <c r="K350" s="18" cm="1">
        <f t="array" ref="K350">IF(R350&lt;&gt;0, HEX2DEC(Reverse(R350))-$I350,"")</f>
        <v>19</v>
      </c>
      <c r="L350" s="18" cm="1">
        <f t="array" ref="L350">IF(S350&lt;&gt;0, HEX2DEC(Reverse(S350))-$I350,"")</f>
        <v>152</v>
      </c>
      <c r="M350" s="18" cm="1">
        <f t="array" ref="M350">IF(T350&lt;&gt;0, HEX2DEC(Reverse(T350))-$I350,"")</f>
        <v>20</v>
      </c>
      <c r="O350" s="3">
        <v>1010100</v>
      </c>
      <c r="P350" s="3" t="s">
        <v>114</v>
      </c>
      <c r="Q350" s="3" t="s">
        <v>1260</v>
      </c>
      <c r="R350" s="30" t="s">
        <v>150</v>
      </c>
      <c r="S350" s="3" t="s">
        <v>1263</v>
      </c>
      <c r="T350" s="3" t="s">
        <v>152</v>
      </c>
      <c r="U350" s="3" t="s">
        <v>1264</v>
      </c>
      <c r="V350" s="4" t="s">
        <v>1265</v>
      </c>
    </row>
    <row r="351" spans="1:22" x14ac:dyDescent="0.2">
      <c r="A351" s="20" t="s">
        <v>439</v>
      </c>
      <c r="B351" s="20">
        <v>3226</v>
      </c>
      <c r="C351" s="21" t="s">
        <v>1</v>
      </c>
      <c r="D351" s="21" t="s">
        <v>2</v>
      </c>
      <c r="E351" s="21" t="s">
        <v>90</v>
      </c>
      <c r="F351" s="21" t="s">
        <v>94</v>
      </c>
      <c r="G351" s="21" t="s">
        <v>1778</v>
      </c>
      <c r="H351" s="22" t="str" cm="1">
        <f t="array" ref="H351">Reverse2_6(O351)</f>
        <v>00-010201</v>
      </c>
      <c r="I351" s="45" cm="1">
        <f t="array" ref="I351">HEX2DEC(Reverse(P351))</f>
        <v>93631153</v>
      </c>
      <c r="J351" s="45" cm="1">
        <f t="array" ref="J351">IF(Q351&lt;&gt;0, HEX2DEC(Reverse(Q351))-$I351,"")</f>
        <v>19</v>
      </c>
      <c r="K351" s="45" cm="1">
        <f t="array" ref="K351">IF(R351&lt;&gt;0, HEX2DEC(Reverse(R351))-$I351,"")</f>
        <v>150</v>
      </c>
      <c r="L351" s="45" t="str" cm="1">
        <f t="array" ref="L351">IF(S351&lt;&gt;0, HEX2DEC(Reverse(S351))-$I351,"")</f>
        <v/>
      </c>
      <c r="M351" s="45" cm="1">
        <f t="array" ref="M351">IF(T351&lt;&gt;0, HEX2DEC(Reverse(T351))-$I351,"")</f>
        <v>151</v>
      </c>
      <c r="O351" s="3">
        <v>1020100</v>
      </c>
      <c r="P351" s="3" t="s">
        <v>114</v>
      </c>
      <c r="Q351" s="3" t="s">
        <v>150</v>
      </c>
      <c r="R351" s="3" t="s">
        <v>1258</v>
      </c>
      <c r="S351" s="3">
        <v>0</v>
      </c>
      <c r="T351" s="3" t="s">
        <v>1260</v>
      </c>
      <c r="U351" s="3"/>
      <c r="V351" s="4"/>
    </row>
    <row r="352" spans="1:22" x14ac:dyDescent="0.2">
      <c r="A352" s="20" t="s">
        <v>440</v>
      </c>
      <c r="B352" s="20">
        <v>3227</v>
      </c>
      <c r="C352" s="21" t="s">
        <v>1</v>
      </c>
      <c r="D352" s="21" t="s">
        <v>2</v>
      </c>
      <c r="E352" s="21" t="s">
        <v>90</v>
      </c>
      <c r="F352" s="21" t="s">
        <v>94</v>
      </c>
      <c r="G352" s="21" t="s">
        <v>1778</v>
      </c>
      <c r="H352" s="22" t="str" cm="1">
        <f t="array" ref="H352">Reverse2_6(O352)</f>
        <v>00-010201</v>
      </c>
      <c r="I352" s="45" cm="1">
        <f t="array" ref="I352">HEX2DEC(Reverse(P352))</f>
        <v>93631153</v>
      </c>
      <c r="J352" s="45" cm="1">
        <f t="array" ref="J352">IF(Q352&lt;&gt;0, HEX2DEC(Reverse(Q352))-$I352,"")</f>
        <v>19</v>
      </c>
      <c r="K352" s="45" cm="1">
        <f t="array" ref="K352">IF(R352&lt;&gt;0, HEX2DEC(Reverse(R352))-$I352,"")</f>
        <v>151</v>
      </c>
      <c r="L352" s="45" t="str" cm="1">
        <f t="array" ref="L352">IF(S352&lt;&gt;0, HEX2DEC(Reverse(S352))-$I352,"")</f>
        <v/>
      </c>
      <c r="M352" s="45" cm="1">
        <f t="array" ref="M352">IF(T352&lt;&gt;0, HEX2DEC(Reverse(T352))-$I352,"")</f>
        <v>152</v>
      </c>
      <c r="O352" s="3">
        <v>1020100</v>
      </c>
      <c r="P352" s="3" t="s">
        <v>114</v>
      </c>
      <c r="Q352" s="3" t="s">
        <v>150</v>
      </c>
      <c r="R352" s="3" t="s">
        <v>1260</v>
      </c>
      <c r="S352" s="3">
        <v>0</v>
      </c>
      <c r="T352" s="3" t="s">
        <v>1263</v>
      </c>
      <c r="U352" s="3"/>
      <c r="V352" s="4"/>
    </row>
    <row r="353" spans="1:22" x14ac:dyDescent="0.2">
      <c r="A353" s="16" t="s">
        <v>441</v>
      </c>
      <c r="B353" s="16">
        <v>3233</v>
      </c>
      <c r="C353" s="15" t="s">
        <v>2</v>
      </c>
      <c r="D353" s="15" t="s">
        <v>1</v>
      </c>
      <c r="E353" s="15" t="s">
        <v>92</v>
      </c>
      <c r="F353" s="15" t="s">
        <v>96</v>
      </c>
      <c r="G353" s="15"/>
      <c r="H353" s="17" t="str" cm="1">
        <f t="array" ref="H353">Reverse2_6(O353)</f>
        <v>00-010101</v>
      </c>
      <c r="I353" s="18" cm="1">
        <f t="array" ref="I353">HEX2DEC(Reverse(P353))</f>
        <v>93631153</v>
      </c>
      <c r="J353" s="18" cm="1">
        <f t="array" ref="J353">IF(Q353&lt;&gt;0, HEX2DEC(Reverse(Q353))-$I353,"")</f>
        <v>152</v>
      </c>
      <c r="K353" s="18" cm="1">
        <f t="array" ref="K353">IF(R353&lt;&gt;0, HEX2DEC(Reverse(R353))-$I353,"")</f>
        <v>19</v>
      </c>
      <c r="L353" s="18" cm="1">
        <f t="array" ref="L353">IF(S353&lt;&gt;0, HEX2DEC(Reverse(S353))-$I353,"")</f>
        <v>153</v>
      </c>
      <c r="M353" s="18" cm="1">
        <f t="array" ref="M353">IF(T353&lt;&gt;0, HEX2DEC(Reverse(T353))-$I353,"")</f>
        <v>20</v>
      </c>
      <c r="O353" s="3">
        <v>1010100</v>
      </c>
      <c r="P353" s="3" t="s">
        <v>114</v>
      </c>
      <c r="Q353" s="3" t="s">
        <v>1263</v>
      </c>
      <c r="R353" s="30" t="s">
        <v>150</v>
      </c>
      <c r="S353" s="3" t="s">
        <v>1266</v>
      </c>
      <c r="T353" s="3" t="s">
        <v>152</v>
      </c>
      <c r="U353" s="3">
        <v>31313131</v>
      </c>
      <c r="V353" s="4" t="s">
        <v>141</v>
      </c>
    </row>
    <row r="354" spans="1:22" x14ac:dyDescent="0.2">
      <c r="A354" s="16" t="s">
        <v>442</v>
      </c>
      <c r="B354" s="16">
        <v>3234</v>
      </c>
      <c r="C354" s="15" t="s">
        <v>2</v>
      </c>
      <c r="D354" s="15" t="s">
        <v>1</v>
      </c>
      <c r="E354" s="15" t="s">
        <v>92</v>
      </c>
      <c r="F354" s="15" t="s">
        <v>109</v>
      </c>
      <c r="G354" s="15"/>
      <c r="H354" s="17" t="str" cm="1">
        <f t="array" ref="H354">Reverse2_6(O354)</f>
        <v>00-010101</v>
      </c>
      <c r="I354" s="18" cm="1">
        <f t="array" ref="I354">HEX2DEC(Reverse(P354))</f>
        <v>93631153</v>
      </c>
      <c r="J354" s="18" cm="1">
        <f t="array" ref="J354">IF(Q354&lt;&gt;0, HEX2DEC(Reverse(Q354))-$I354,"")</f>
        <v>153</v>
      </c>
      <c r="K354" s="18" cm="1">
        <f t="array" ref="K354">IF(R354&lt;&gt;0, HEX2DEC(Reverse(R354))-$I354,"")</f>
        <v>19</v>
      </c>
      <c r="L354" s="18" cm="1">
        <f t="array" ref="L354">IF(S354&lt;&gt;0, HEX2DEC(Reverse(S354))-$I354,"")</f>
        <v>154</v>
      </c>
      <c r="M354" s="18" cm="1">
        <f t="array" ref="M354">IF(T354&lt;&gt;0, HEX2DEC(Reverse(T354))-$I354,"")</f>
        <v>20</v>
      </c>
      <c r="O354" s="3">
        <v>1010100</v>
      </c>
      <c r="P354" s="3" t="s">
        <v>114</v>
      </c>
      <c r="Q354" s="3" t="s">
        <v>1266</v>
      </c>
      <c r="R354" s="30" t="s">
        <v>150</v>
      </c>
      <c r="S354" s="3" t="s">
        <v>1267</v>
      </c>
      <c r="T354" s="3" t="s">
        <v>152</v>
      </c>
      <c r="U354" s="3" t="s">
        <v>143</v>
      </c>
      <c r="V354" s="4" t="s">
        <v>144</v>
      </c>
    </row>
    <row r="355" spans="1:22" x14ac:dyDescent="0.2">
      <c r="A355" s="20" t="s">
        <v>443</v>
      </c>
      <c r="B355" s="20">
        <v>3235</v>
      </c>
      <c r="C355" s="21" t="s">
        <v>1</v>
      </c>
      <c r="D355" s="21" t="s">
        <v>2</v>
      </c>
      <c r="E355" s="21" t="s">
        <v>90</v>
      </c>
      <c r="F355" s="21" t="s">
        <v>94</v>
      </c>
      <c r="G355" s="21" t="s">
        <v>1778</v>
      </c>
      <c r="H355" s="22" t="str" cm="1">
        <f t="array" ref="H355">Reverse2_6(O355)</f>
        <v>00-010201</v>
      </c>
      <c r="I355" s="45" cm="1">
        <f t="array" ref="I355">HEX2DEC(Reverse(P355))</f>
        <v>93631153</v>
      </c>
      <c r="J355" s="45" cm="1">
        <f t="array" ref="J355">IF(Q355&lt;&gt;0, HEX2DEC(Reverse(Q355))-$I355,"")</f>
        <v>19</v>
      </c>
      <c r="K355" s="45" cm="1">
        <f t="array" ref="K355">IF(R355&lt;&gt;0, HEX2DEC(Reverse(R355))-$I355,"")</f>
        <v>152</v>
      </c>
      <c r="L355" s="45" t="str" cm="1">
        <f t="array" ref="L355">IF(S355&lt;&gt;0, HEX2DEC(Reverse(S355))-$I355,"")</f>
        <v/>
      </c>
      <c r="M355" s="45" cm="1">
        <f t="array" ref="M355">IF(T355&lt;&gt;0, HEX2DEC(Reverse(T355))-$I355,"")</f>
        <v>153</v>
      </c>
      <c r="O355" s="3">
        <v>1020100</v>
      </c>
      <c r="P355" s="3" t="s">
        <v>114</v>
      </c>
      <c r="Q355" s="3" t="s">
        <v>150</v>
      </c>
      <c r="R355" s="3" t="s">
        <v>1263</v>
      </c>
      <c r="S355" s="3">
        <v>0</v>
      </c>
      <c r="T355" s="3" t="s">
        <v>1266</v>
      </c>
      <c r="U355" s="3"/>
      <c r="V355" s="4"/>
    </row>
    <row r="356" spans="1:22" x14ac:dyDescent="0.2">
      <c r="A356" s="20" t="s">
        <v>444</v>
      </c>
      <c r="B356" s="20">
        <v>3236</v>
      </c>
      <c r="C356" s="21" t="s">
        <v>1</v>
      </c>
      <c r="D356" s="21" t="s">
        <v>2</v>
      </c>
      <c r="E356" s="21" t="s">
        <v>90</v>
      </c>
      <c r="F356" s="21" t="s">
        <v>94</v>
      </c>
      <c r="G356" s="21" t="s">
        <v>1778</v>
      </c>
      <c r="H356" s="22" t="str" cm="1">
        <f t="array" ref="H356">Reverse2_6(O356)</f>
        <v>00-010201</v>
      </c>
      <c r="I356" s="45" cm="1">
        <f t="array" ref="I356">HEX2DEC(Reverse(P356))</f>
        <v>93631153</v>
      </c>
      <c r="J356" s="45" cm="1">
        <f t="array" ref="J356">IF(Q356&lt;&gt;0, HEX2DEC(Reverse(Q356))-$I356,"")</f>
        <v>19</v>
      </c>
      <c r="K356" s="45" cm="1">
        <f t="array" ref="K356">IF(R356&lt;&gt;0, HEX2DEC(Reverse(R356))-$I356,"")</f>
        <v>153</v>
      </c>
      <c r="L356" s="45" t="str" cm="1">
        <f t="array" ref="L356">IF(S356&lt;&gt;0, HEX2DEC(Reverse(S356))-$I356,"")</f>
        <v/>
      </c>
      <c r="M356" s="45" cm="1">
        <f t="array" ref="M356">IF(T356&lt;&gt;0, HEX2DEC(Reverse(T356))-$I356,"")</f>
        <v>154</v>
      </c>
      <c r="O356" s="3">
        <v>1020100</v>
      </c>
      <c r="P356" s="3" t="s">
        <v>114</v>
      </c>
      <c r="Q356" s="3" t="s">
        <v>150</v>
      </c>
      <c r="R356" s="3" t="s">
        <v>1266</v>
      </c>
      <c r="S356" s="3">
        <v>0</v>
      </c>
      <c r="T356" s="3" t="s">
        <v>1267</v>
      </c>
      <c r="U356" s="3"/>
      <c r="V356" s="4"/>
    </row>
    <row r="357" spans="1:22" x14ac:dyDescent="0.2">
      <c r="A357" s="16" t="s">
        <v>445</v>
      </c>
      <c r="B357" s="16">
        <v>3239</v>
      </c>
      <c r="C357" s="15" t="s">
        <v>2</v>
      </c>
      <c r="D357" s="15" t="s">
        <v>1</v>
      </c>
      <c r="E357" s="15" t="s">
        <v>92</v>
      </c>
      <c r="F357" s="15" t="s">
        <v>96</v>
      </c>
      <c r="G357" s="15"/>
      <c r="H357" s="17" t="str" cm="1">
        <f t="array" ref="H357">Reverse2_6(O357)</f>
        <v>00-010101</v>
      </c>
      <c r="I357" s="18" cm="1">
        <f t="array" ref="I357">HEX2DEC(Reverse(P357))</f>
        <v>93631153</v>
      </c>
      <c r="J357" s="18" cm="1">
        <f t="array" ref="J357">IF(Q357&lt;&gt;0, HEX2DEC(Reverse(Q357))-$I357,"")</f>
        <v>154</v>
      </c>
      <c r="K357" s="18" cm="1">
        <f t="array" ref="K357">IF(R357&lt;&gt;0, HEX2DEC(Reverse(R357))-$I357,"")</f>
        <v>19</v>
      </c>
      <c r="L357" s="18" cm="1">
        <f t="array" ref="L357">IF(S357&lt;&gt;0, HEX2DEC(Reverse(S357))-$I357,"")</f>
        <v>155</v>
      </c>
      <c r="M357" s="18" cm="1">
        <f t="array" ref="M357">IF(T357&lt;&gt;0, HEX2DEC(Reverse(T357))-$I357,"")</f>
        <v>20</v>
      </c>
      <c r="O357" s="3">
        <v>1010100</v>
      </c>
      <c r="P357" s="3" t="s">
        <v>114</v>
      </c>
      <c r="Q357" s="3" t="s">
        <v>1267</v>
      </c>
      <c r="R357" s="30" t="s">
        <v>150</v>
      </c>
      <c r="S357" s="3" t="s">
        <v>1268</v>
      </c>
      <c r="T357" s="3" t="s">
        <v>152</v>
      </c>
      <c r="U357" s="3">
        <v>31313131</v>
      </c>
      <c r="V357" s="4" t="s">
        <v>1269</v>
      </c>
    </row>
    <row r="358" spans="1:22" x14ac:dyDescent="0.2">
      <c r="A358" s="20" t="s">
        <v>446</v>
      </c>
      <c r="B358" s="20">
        <v>3240</v>
      </c>
      <c r="C358" s="21" t="s">
        <v>1</v>
      </c>
      <c r="D358" s="21" t="s">
        <v>2</v>
      </c>
      <c r="E358" s="21" t="s">
        <v>90</v>
      </c>
      <c r="F358" s="21" t="s">
        <v>94</v>
      </c>
      <c r="G358" s="21" t="s">
        <v>1778</v>
      </c>
      <c r="H358" s="22" t="str" cm="1">
        <f t="array" ref="H358">Reverse2_6(O358)</f>
        <v>00-010201</v>
      </c>
      <c r="I358" s="45" cm="1">
        <f t="array" ref="I358">HEX2DEC(Reverse(P358))</f>
        <v>93631153</v>
      </c>
      <c r="J358" s="45" cm="1">
        <f t="array" ref="J358">IF(Q358&lt;&gt;0, HEX2DEC(Reverse(Q358))-$I358,"")</f>
        <v>19</v>
      </c>
      <c r="K358" s="45" cm="1">
        <f t="array" ref="K358">IF(R358&lt;&gt;0, HEX2DEC(Reverse(R358))-$I358,"")</f>
        <v>154</v>
      </c>
      <c r="L358" s="45" t="str" cm="1">
        <f t="array" ref="L358">IF(S358&lt;&gt;0, HEX2DEC(Reverse(S358))-$I358,"")</f>
        <v/>
      </c>
      <c r="M358" s="45" cm="1">
        <f t="array" ref="M358">IF(T358&lt;&gt;0, HEX2DEC(Reverse(T358))-$I358,"")</f>
        <v>155</v>
      </c>
      <c r="O358" s="3">
        <v>1020100</v>
      </c>
      <c r="P358" s="3" t="s">
        <v>114</v>
      </c>
      <c r="Q358" s="3" t="s">
        <v>150</v>
      </c>
      <c r="R358" s="3" t="s">
        <v>1267</v>
      </c>
      <c r="S358" s="3">
        <v>0</v>
      </c>
      <c r="T358" s="3" t="s">
        <v>1268</v>
      </c>
      <c r="U358" s="3"/>
      <c r="V358" s="4"/>
    </row>
    <row r="359" spans="1:22" x14ac:dyDescent="0.2">
      <c r="A359" s="16" t="s">
        <v>447</v>
      </c>
      <c r="B359" s="16">
        <v>3241</v>
      </c>
      <c r="C359" s="15" t="s">
        <v>2</v>
      </c>
      <c r="D359" s="15" t="s">
        <v>1</v>
      </c>
      <c r="E359" s="15" t="s">
        <v>92</v>
      </c>
      <c r="F359" s="15" t="s">
        <v>860</v>
      </c>
      <c r="G359" s="15"/>
      <c r="H359" s="17" t="str" cm="1">
        <f t="array" ref="H359">Reverse2_6(O359)</f>
        <v>00-010101</v>
      </c>
      <c r="I359" s="18" cm="1">
        <f t="array" ref="I359">HEX2DEC(Reverse(P359))</f>
        <v>93631153</v>
      </c>
      <c r="J359" s="18" cm="1">
        <f t="array" ref="J359">IF(Q359&lt;&gt;0, HEX2DEC(Reverse(Q359))-$I359,"")</f>
        <v>155</v>
      </c>
      <c r="K359" s="18" cm="1">
        <f t="array" ref="K359">IF(R359&lt;&gt;0, HEX2DEC(Reverse(R359))-$I359,"")</f>
        <v>19</v>
      </c>
      <c r="L359" s="18" cm="1">
        <f t="array" ref="L359">IF(S359&lt;&gt;0, HEX2DEC(Reverse(S359))-$I359,"")</f>
        <v>156</v>
      </c>
      <c r="M359" s="18" cm="1">
        <f t="array" ref="M359">IF(T359&lt;&gt;0, HEX2DEC(Reverse(T359))-$I359,"")</f>
        <v>20</v>
      </c>
      <c r="O359" s="3">
        <v>1010100</v>
      </c>
      <c r="P359" s="3" t="s">
        <v>114</v>
      </c>
      <c r="Q359" s="3" t="s">
        <v>1268</v>
      </c>
      <c r="R359" s="30" t="s">
        <v>150</v>
      </c>
      <c r="S359" s="3" t="s">
        <v>1270</v>
      </c>
      <c r="T359" s="3" t="s">
        <v>152</v>
      </c>
      <c r="U359" s="3" t="s">
        <v>1271</v>
      </c>
      <c r="V359" s="4" t="s">
        <v>1272</v>
      </c>
    </row>
    <row r="360" spans="1:22" x14ac:dyDescent="0.2">
      <c r="A360" s="20" t="s">
        <v>448</v>
      </c>
      <c r="B360" s="20">
        <v>3242</v>
      </c>
      <c r="C360" s="21" t="s">
        <v>1</v>
      </c>
      <c r="D360" s="21" t="s">
        <v>2</v>
      </c>
      <c r="E360" s="21" t="s">
        <v>90</v>
      </c>
      <c r="F360" s="21" t="s">
        <v>94</v>
      </c>
      <c r="G360" s="21" t="s">
        <v>1778</v>
      </c>
      <c r="H360" s="22" t="str" cm="1">
        <f t="array" ref="H360">Reverse2_6(O360)</f>
        <v>00-010201</v>
      </c>
      <c r="I360" s="45" cm="1">
        <f t="array" ref="I360">HEX2DEC(Reverse(P360))</f>
        <v>93631153</v>
      </c>
      <c r="J360" s="45" cm="1">
        <f t="array" ref="J360">IF(Q360&lt;&gt;0, HEX2DEC(Reverse(Q360))-$I360,"")</f>
        <v>19</v>
      </c>
      <c r="K360" s="45" cm="1">
        <f t="array" ref="K360">IF(R360&lt;&gt;0, HEX2DEC(Reverse(R360))-$I360,"")</f>
        <v>155</v>
      </c>
      <c r="L360" s="45" t="str" cm="1">
        <f t="array" ref="L360">IF(S360&lt;&gt;0, HEX2DEC(Reverse(S360))-$I360,"")</f>
        <v/>
      </c>
      <c r="M360" s="45" cm="1">
        <f t="array" ref="M360">IF(T360&lt;&gt;0, HEX2DEC(Reverse(T360))-$I360,"")</f>
        <v>156</v>
      </c>
      <c r="O360" s="3">
        <v>1020100</v>
      </c>
      <c r="P360" s="3" t="s">
        <v>114</v>
      </c>
      <c r="Q360" s="3" t="s">
        <v>150</v>
      </c>
      <c r="R360" s="3" t="s">
        <v>1268</v>
      </c>
      <c r="S360" s="3">
        <v>0</v>
      </c>
      <c r="T360" s="3" t="s">
        <v>1270</v>
      </c>
      <c r="U360" s="3"/>
      <c r="V360" s="4"/>
    </row>
    <row r="361" spans="1:22" x14ac:dyDescent="0.2">
      <c r="A361" s="46" t="s">
        <v>449</v>
      </c>
      <c r="B361" s="46">
        <v>3245</v>
      </c>
      <c r="C361" s="36" t="s">
        <v>1</v>
      </c>
      <c r="D361" s="36" t="s">
        <v>2</v>
      </c>
      <c r="E361" s="36" t="s">
        <v>90</v>
      </c>
      <c r="F361" s="36" t="s">
        <v>110</v>
      </c>
      <c r="G361" s="36" t="s">
        <v>1753</v>
      </c>
      <c r="H361" s="35" t="str" cm="1">
        <f t="array" ref="H361">Reverse2_6(O361)</f>
        <v>00-010101</v>
      </c>
      <c r="I361" s="44" cm="1">
        <f t="array" ref="I361">HEX2DEC(Reverse(P361))</f>
        <v>93631153</v>
      </c>
      <c r="J361" s="44" cm="1">
        <f t="array" ref="J361">IF(Q361&lt;&gt;0, HEX2DEC(Reverse(Q361))-$I361,"")</f>
        <v>20</v>
      </c>
      <c r="K361" s="44" cm="1">
        <f t="array" ref="K361">IF(R361&lt;&gt;0, HEX2DEC(Reverse(R361))-$I361,"")</f>
        <v>155</v>
      </c>
      <c r="L361" s="44" cm="1">
        <f t="array" ref="L361">IF(S361&lt;&gt;0, HEX2DEC(Reverse(S361))-$I361,"")</f>
        <v>21</v>
      </c>
      <c r="M361" s="44" cm="1">
        <f t="array" ref="M361">IF(T361&lt;&gt;0, HEX2DEC(Reverse(T361))-$I361,"")</f>
        <v>156</v>
      </c>
      <c r="O361" s="3">
        <v>1010100</v>
      </c>
      <c r="P361" s="3" t="s">
        <v>114</v>
      </c>
      <c r="Q361" s="3" t="s">
        <v>152</v>
      </c>
      <c r="R361" s="3" t="s">
        <v>1268</v>
      </c>
      <c r="S361" s="13" t="s">
        <v>153</v>
      </c>
      <c r="T361" s="3" t="s">
        <v>1270</v>
      </c>
      <c r="U361" s="3">
        <v>31313131</v>
      </c>
      <c r="V361" s="4" t="s">
        <v>145</v>
      </c>
    </row>
    <row r="362" spans="1:22" x14ac:dyDescent="0.2">
      <c r="A362" s="46" t="s">
        <v>450</v>
      </c>
      <c r="B362" s="46">
        <v>3246</v>
      </c>
      <c r="C362" s="36" t="s">
        <v>1</v>
      </c>
      <c r="D362" s="36" t="s">
        <v>2</v>
      </c>
      <c r="E362" s="36" t="s">
        <v>90</v>
      </c>
      <c r="F362" s="36" t="s">
        <v>106</v>
      </c>
      <c r="G362" s="36"/>
      <c r="H362" s="35" t="str" cm="1">
        <f t="array" ref="H362">Reverse2_6(O362)</f>
        <v>00-010101</v>
      </c>
      <c r="I362" s="44" cm="1">
        <f t="array" ref="I362">HEX2DEC(Reverse(P362))</f>
        <v>93631153</v>
      </c>
      <c r="J362" s="44" cm="1">
        <f t="array" ref="J362">IF(Q362&lt;&gt;0, HEX2DEC(Reverse(Q362))-$I362,"")</f>
        <v>21</v>
      </c>
      <c r="K362" s="44" cm="1">
        <f t="array" ref="K362">IF(R362&lt;&gt;0, HEX2DEC(Reverse(R362))-$I362,"")</f>
        <v>155</v>
      </c>
      <c r="L362" s="44" cm="1">
        <f t="array" ref="L362">IF(S362&lt;&gt;0, HEX2DEC(Reverse(S362))-$I362,"")</f>
        <v>22</v>
      </c>
      <c r="M362" s="44" cm="1">
        <f t="array" ref="M362">IF(T362&lt;&gt;0, HEX2DEC(Reverse(T362))-$I362,"")</f>
        <v>156</v>
      </c>
      <c r="O362" s="3">
        <v>1010100</v>
      </c>
      <c r="P362" s="3" t="s">
        <v>114</v>
      </c>
      <c r="Q362" s="3" t="s">
        <v>153</v>
      </c>
      <c r="R362" s="3" t="s">
        <v>1268</v>
      </c>
      <c r="S362" s="3" t="s">
        <v>154</v>
      </c>
      <c r="T362" s="3" t="s">
        <v>1270</v>
      </c>
      <c r="U362" s="3">
        <v>31313131</v>
      </c>
      <c r="V362" s="4" t="s">
        <v>135</v>
      </c>
    </row>
    <row r="363" spans="1:22" x14ac:dyDescent="0.2">
      <c r="A363" s="16" t="s">
        <v>451</v>
      </c>
      <c r="B363" s="16">
        <v>3251</v>
      </c>
      <c r="C363" s="15" t="s">
        <v>2</v>
      </c>
      <c r="D363" s="15" t="s">
        <v>1</v>
      </c>
      <c r="E363" s="15" t="s">
        <v>92</v>
      </c>
      <c r="F363" s="15" t="s">
        <v>96</v>
      </c>
      <c r="G363" s="15"/>
      <c r="H363" s="17" t="str" cm="1">
        <f t="array" ref="H363">Reverse2_6(O363)</f>
        <v>00-010101</v>
      </c>
      <c r="I363" s="18" cm="1">
        <f t="array" ref="I363">HEX2DEC(Reverse(P363))</f>
        <v>93631153</v>
      </c>
      <c r="J363" s="18" cm="1">
        <f t="array" ref="J363">IF(Q363&lt;&gt;0, HEX2DEC(Reverse(Q363))-$I363,"")</f>
        <v>156</v>
      </c>
      <c r="K363" s="18" cm="1">
        <f t="array" ref="K363">IF(R363&lt;&gt;0, HEX2DEC(Reverse(R363))-$I363,"")</f>
        <v>19</v>
      </c>
      <c r="L363" s="18" cm="1">
        <f t="array" ref="L363">IF(S363&lt;&gt;0, HEX2DEC(Reverse(S363))-$I363,"")</f>
        <v>157</v>
      </c>
      <c r="M363" s="18" cm="1">
        <f t="array" ref="M363">IF(T363&lt;&gt;0, HEX2DEC(Reverse(T363))-$I363,"")</f>
        <v>20</v>
      </c>
      <c r="O363" s="3">
        <v>1010100</v>
      </c>
      <c r="P363" s="3" t="s">
        <v>114</v>
      </c>
      <c r="Q363" s="3" t="s">
        <v>1270</v>
      </c>
      <c r="R363" s="30" t="s">
        <v>150</v>
      </c>
      <c r="S363" s="3" t="s">
        <v>1273</v>
      </c>
      <c r="T363" s="3" t="s">
        <v>152</v>
      </c>
      <c r="U363" s="3">
        <v>31313131</v>
      </c>
      <c r="V363" s="4" t="s">
        <v>1274</v>
      </c>
    </row>
    <row r="364" spans="1:22" x14ac:dyDescent="0.2">
      <c r="A364" s="16" t="s">
        <v>452</v>
      </c>
      <c r="B364" s="16">
        <v>3252</v>
      </c>
      <c r="C364" s="15" t="s">
        <v>2</v>
      </c>
      <c r="D364" s="15" t="s">
        <v>1</v>
      </c>
      <c r="E364" s="15" t="s">
        <v>92</v>
      </c>
      <c r="F364" s="15" t="s">
        <v>861</v>
      </c>
      <c r="G364" s="15"/>
      <c r="H364" s="17" t="str" cm="1">
        <f t="array" ref="H364">Reverse2_6(O364)</f>
        <v>00-010101</v>
      </c>
      <c r="I364" s="18" cm="1">
        <f t="array" ref="I364">HEX2DEC(Reverse(P364))</f>
        <v>93631153</v>
      </c>
      <c r="J364" s="18" cm="1">
        <f t="array" ref="J364">IF(Q364&lt;&gt;0, HEX2DEC(Reverse(Q364))-$I364,"")</f>
        <v>157</v>
      </c>
      <c r="K364" s="18" cm="1">
        <f t="array" ref="K364">IF(R364&lt;&gt;0, HEX2DEC(Reverse(R364))-$I364,"")</f>
        <v>19</v>
      </c>
      <c r="L364" s="18" cm="1">
        <f t="array" ref="L364">IF(S364&lt;&gt;0, HEX2DEC(Reverse(S364))-$I364,"")</f>
        <v>158</v>
      </c>
      <c r="M364" s="18" cm="1">
        <f t="array" ref="M364">IF(T364&lt;&gt;0, HEX2DEC(Reverse(T364))-$I364,"")</f>
        <v>20</v>
      </c>
      <c r="O364" s="3">
        <v>1010100</v>
      </c>
      <c r="P364" s="3" t="s">
        <v>114</v>
      </c>
      <c r="Q364" s="3" t="s">
        <v>1273</v>
      </c>
      <c r="R364" s="30" t="s">
        <v>150</v>
      </c>
      <c r="S364" s="3" t="s">
        <v>1275</v>
      </c>
      <c r="T364" s="3" t="s">
        <v>152</v>
      </c>
      <c r="U364" s="3" t="s">
        <v>1276</v>
      </c>
      <c r="V364" s="4" t="s">
        <v>1277</v>
      </c>
    </row>
    <row r="365" spans="1:22" x14ac:dyDescent="0.2">
      <c r="A365" s="20" t="s">
        <v>453</v>
      </c>
      <c r="B365" s="20">
        <v>3253</v>
      </c>
      <c r="C365" s="21" t="s">
        <v>1</v>
      </c>
      <c r="D365" s="21" t="s">
        <v>2</v>
      </c>
      <c r="E365" s="21" t="s">
        <v>90</v>
      </c>
      <c r="F365" s="21" t="s">
        <v>94</v>
      </c>
      <c r="G365" s="21" t="s">
        <v>1778</v>
      </c>
      <c r="H365" s="22" t="str" cm="1">
        <f t="array" ref="H365">Reverse2_6(O365)</f>
        <v>00-010201</v>
      </c>
      <c r="I365" s="45" cm="1">
        <f t="array" ref="I365">HEX2DEC(Reverse(P365))</f>
        <v>93631153</v>
      </c>
      <c r="J365" s="45" cm="1">
        <f t="array" ref="J365">IF(Q365&lt;&gt;0, HEX2DEC(Reverse(Q365))-$I365,"")</f>
        <v>21</v>
      </c>
      <c r="K365" s="45" cm="1">
        <f t="array" ref="K365">IF(R365&lt;&gt;0, HEX2DEC(Reverse(R365))-$I365,"")</f>
        <v>156</v>
      </c>
      <c r="L365" s="45" t="str" cm="1">
        <f t="array" ref="L365">IF(S365&lt;&gt;0, HEX2DEC(Reverse(S365))-$I365,"")</f>
        <v/>
      </c>
      <c r="M365" s="45" cm="1">
        <f t="array" ref="M365">IF(T365&lt;&gt;0, HEX2DEC(Reverse(T365))-$I365,"")</f>
        <v>157</v>
      </c>
      <c r="O365" s="3">
        <v>1020100</v>
      </c>
      <c r="P365" s="3" t="s">
        <v>114</v>
      </c>
      <c r="Q365" s="3" t="s">
        <v>153</v>
      </c>
      <c r="R365" s="3" t="s">
        <v>1270</v>
      </c>
      <c r="S365" s="3">
        <v>0</v>
      </c>
      <c r="T365" s="3" t="s">
        <v>1273</v>
      </c>
      <c r="U365" s="3"/>
      <c r="V365" s="4"/>
    </row>
    <row r="366" spans="1:22" x14ac:dyDescent="0.2">
      <c r="A366" s="20" t="s">
        <v>454</v>
      </c>
      <c r="B366" s="20">
        <v>3254</v>
      </c>
      <c r="C366" s="21" t="s">
        <v>1</v>
      </c>
      <c r="D366" s="21" t="s">
        <v>2</v>
      </c>
      <c r="E366" s="21" t="s">
        <v>90</v>
      </c>
      <c r="F366" s="21" t="s">
        <v>94</v>
      </c>
      <c r="G366" s="21" t="s">
        <v>1778</v>
      </c>
      <c r="H366" s="22" t="str" cm="1">
        <f t="array" ref="H366">Reverse2_6(O366)</f>
        <v>00-010201</v>
      </c>
      <c r="I366" s="45" cm="1">
        <f t="array" ref="I366">HEX2DEC(Reverse(P366))</f>
        <v>93631153</v>
      </c>
      <c r="J366" s="45" cm="1">
        <f t="array" ref="J366">IF(Q366&lt;&gt;0, HEX2DEC(Reverse(Q366))-$I366,"")</f>
        <v>21</v>
      </c>
      <c r="K366" s="45" cm="1">
        <f t="array" ref="K366">IF(R366&lt;&gt;0, HEX2DEC(Reverse(R366))-$I366,"")</f>
        <v>157</v>
      </c>
      <c r="L366" s="45" t="str" cm="1">
        <f t="array" ref="L366">IF(S366&lt;&gt;0, HEX2DEC(Reverse(S366))-$I366,"")</f>
        <v/>
      </c>
      <c r="M366" s="45" cm="1">
        <f t="array" ref="M366">IF(T366&lt;&gt;0, HEX2DEC(Reverse(T366))-$I366,"")</f>
        <v>158</v>
      </c>
      <c r="O366" s="3">
        <v>1020100</v>
      </c>
      <c r="P366" s="3" t="s">
        <v>114</v>
      </c>
      <c r="Q366" s="3" t="s">
        <v>153</v>
      </c>
      <c r="R366" s="3" t="s">
        <v>1273</v>
      </c>
      <c r="S366" s="3">
        <v>0</v>
      </c>
      <c r="T366" s="3" t="s">
        <v>1275</v>
      </c>
      <c r="U366" s="3"/>
      <c r="V366" s="4"/>
    </row>
    <row r="367" spans="1:22" x14ac:dyDescent="0.2">
      <c r="A367" s="16" t="s">
        <v>455</v>
      </c>
      <c r="B367" s="16">
        <v>3259</v>
      </c>
      <c r="C367" s="15" t="s">
        <v>2</v>
      </c>
      <c r="D367" s="15" t="s">
        <v>1</v>
      </c>
      <c r="E367" s="15" t="s">
        <v>92</v>
      </c>
      <c r="F367" s="15" t="s">
        <v>96</v>
      </c>
      <c r="G367" s="15"/>
      <c r="H367" s="17" t="str" cm="1">
        <f t="array" ref="H367">Reverse2_6(O367)</f>
        <v>00-010101</v>
      </c>
      <c r="I367" s="18" cm="1">
        <f t="array" ref="I367">HEX2DEC(Reverse(P367))</f>
        <v>93631153</v>
      </c>
      <c r="J367" s="18" cm="1">
        <f t="array" ref="J367">IF(Q367&lt;&gt;0, HEX2DEC(Reverse(Q367))-$I367,"")</f>
        <v>158</v>
      </c>
      <c r="K367" s="18" cm="1">
        <f t="array" ref="K367">IF(R367&lt;&gt;0, HEX2DEC(Reverse(R367))-$I367,"")</f>
        <v>19</v>
      </c>
      <c r="L367" s="18" cm="1">
        <f t="array" ref="L367">IF(S367&lt;&gt;0, HEX2DEC(Reverse(S367))-$I367,"")</f>
        <v>159</v>
      </c>
      <c r="M367" s="18" cm="1">
        <f t="array" ref="M367">IF(T367&lt;&gt;0, HEX2DEC(Reverse(T367))-$I367,"")</f>
        <v>20</v>
      </c>
      <c r="O367" s="3">
        <v>1010100</v>
      </c>
      <c r="P367" s="3" t="s">
        <v>114</v>
      </c>
      <c r="Q367" s="3" t="s">
        <v>1275</v>
      </c>
      <c r="R367" s="30" t="s">
        <v>150</v>
      </c>
      <c r="S367" s="3" t="s">
        <v>1278</v>
      </c>
      <c r="T367" s="3" t="s">
        <v>152</v>
      </c>
      <c r="U367" s="3">
        <v>31313131</v>
      </c>
      <c r="V367" s="4" t="s">
        <v>1279</v>
      </c>
    </row>
    <row r="368" spans="1:22" x14ac:dyDescent="0.2">
      <c r="A368" s="20" t="s">
        <v>456</v>
      </c>
      <c r="B368" s="20">
        <v>3260</v>
      </c>
      <c r="C368" s="21" t="s">
        <v>1</v>
      </c>
      <c r="D368" s="21" t="s">
        <v>2</v>
      </c>
      <c r="E368" s="21" t="s">
        <v>90</v>
      </c>
      <c r="F368" s="21" t="s">
        <v>94</v>
      </c>
      <c r="G368" s="21" t="s">
        <v>1778</v>
      </c>
      <c r="H368" s="22" t="str" cm="1">
        <f t="array" ref="H368">Reverse2_6(O368)</f>
        <v>00-010201</v>
      </c>
      <c r="I368" s="45" cm="1">
        <f t="array" ref="I368">HEX2DEC(Reverse(P368))</f>
        <v>93631153</v>
      </c>
      <c r="J368" s="45" cm="1">
        <f t="array" ref="J368">IF(Q368&lt;&gt;0, HEX2DEC(Reverse(Q368))-$I368,"")</f>
        <v>21</v>
      </c>
      <c r="K368" s="45" cm="1">
        <f t="array" ref="K368">IF(R368&lt;&gt;0, HEX2DEC(Reverse(R368))-$I368,"")</f>
        <v>158</v>
      </c>
      <c r="L368" s="45" t="str" cm="1">
        <f t="array" ref="L368">IF(S368&lt;&gt;0, HEX2DEC(Reverse(S368))-$I368,"")</f>
        <v/>
      </c>
      <c r="M368" s="45" cm="1">
        <f t="array" ref="M368">IF(T368&lt;&gt;0, HEX2DEC(Reverse(T368))-$I368,"")</f>
        <v>159</v>
      </c>
      <c r="O368" s="3">
        <v>1020100</v>
      </c>
      <c r="P368" s="3" t="s">
        <v>114</v>
      </c>
      <c r="Q368" s="3" t="s">
        <v>153</v>
      </c>
      <c r="R368" s="3" t="s">
        <v>1275</v>
      </c>
      <c r="S368" s="3">
        <v>0</v>
      </c>
      <c r="T368" s="3" t="s">
        <v>1278</v>
      </c>
      <c r="U368" s="3"/>
      <c r="V368" s="4"/>
    </row>
    <row r="369" spans="1:22" x14ac:dyDescent="0.2">
      <c r="A369" s="16" t="s">
        <v>457</v>
      </c>
      <c r="B369" s="16">
        <v>3261</v>
      </c>
      <c r="C369" s="15" t="s">
        <v>2</v>
      </c>
      <c r="D369" s="15" t="s">
        <v>1</v>
      </c>
      <c r="E369" s="15" t="s">
        <v>92</v>
      </c>
      <c r="F369" s="15" t="s">
        <v>96</v>
      </c>
      <c r="G369" s="15"/>
      <c r="H369" s="17" t="str" cm="1">
        <f t="array" ref="H369">Reverse2_6(O369)</f>
        <v>00-010101</v>
      </c>
      <c r="I369" s="18" cm="1">
        <f t="array" ref="I369">HEX2DEC(Reverse(P369))</f>
        <v>93631153</v>
      </c>
      <c r="J369" s="18" cm="1">
        <f t="array" ref="J369">IF(Q369&lt;&gt;0, HEX2DEC(Reverse(Q369))-$I369,"")</f>
        <v>159</v>
      </c>
      <c r="K369" s="18" cm="1">
        <f t="array" ref="K369">IF(R369&lt;&gt;0, HEX2DEC(Reverse(R369))-$I369,"")</f>
        <v>19</v>
      </c>
      <c r="L369" s="18" cm="1">
        <f t="array" ref="L369">IF(S369&lt;&gt;0, HEX2DEC(Reverse(S369))-$I369,"")</f>
        <v>160</v>
      </c>
      <c r="M369" s="18" cm="1">
        <f t="array" ref="M369">IF(T369&lt;&gt;0, HEX2DEC(Reverse(T369))-$I369,"")</f>
        <v>20</v>
      </c>
      <c r="O369" s="3">
        <v>1010100</v>
      </c>
      <c r="P369" s="3" t="s">
        <v>114</v>
      </c>
      <c r="Q369" s="3" t="s">
        <v>1278</v>
      </c>
      <c r="R369" s="30" t="s">
        <v>150</v>
      </c>
      <c r="S369" s="3" t="s">
        <v>1280</v>
      </c>
      <c r="T369" s="3" t="s">
        <v>152</v>
      </c>
      <c r="U369" s="3" t="s">
        <v>1281</v>
      </c>
      <c r="V369" s="4" t="s">
        <v>1282</v>
      </c>
    </row>
    <row r="370" spans="1:22" x14ac:dyDescent="0.2">
      <c r="A370" s="16" t="s">
        <v>458</v>
      </c>
      <c r="B370" s="16">
        <v>3262</v>
      </c>
      <c r="C370" s="15" t="s">
        <v>2</v>
      </c>
      <c r="D370" s="15" t="s">
        <v>1</v>
      </c>
      <c r="E370" s="15" t="s">
        <v>92</v>
      </c>
      <c r="F370" s="15" t="s">
        <v>862</v>
      </c>
      <c r="G370" s="15"/>
      <c r="H370" s="17" t="str" cm="1">
        <f t="array" ref="H370">Reverse2_6(O370)</f>
        <v>00-010101</v>
      </c>
      <c r="I370" s="18" cm="1">
        <f t="array" ref="I370">HEX2DEC(Reverse(P370))</f>
        <v>93631153</v>
      </c>
      <c r="J370" s="18" cm="1">
        <f t="array" ref="J370">IF(Q370&lt;&gt;0, HEX2DEC(Reverse(Q370))-$I370,"")</f>
        <v>160</v>
      </c>
      <c r="K370" s="18" cm="1">
        <f t="array" ref="K370">IF(R370&lt;&gt;0, HEX2DEC(Reverse(R370))-$I370,"")</f>
        <v>19</v>
      </c>
      <c r="L370" s="18" cm="1">
        <f t="array" ref="L370">IF(S370&lt;&gt;0, HEX2DEC(Reverse(S370))-$I370,"")</f>
        <v>161</v>
      </c>
      <c r="M370" s="18" cm="1">
        <f t="array" ref="M370">IF(T370&lt;&gt;0, HEX2DEC(Reverse(T370))-$I370,"")</f>
        <v>20</v>
      </c>
      <c r="O370" s="3">
        <v>1010100</v>
      </c>
      <c r="P370" s="3" t="s">
        <v>114</v>
      </c>
      <c r="Q370" s="3" t="s">
        <v>1280</v>
      </c>
      <c r="R370" s="30" t="s">
        <v>150</v>
      </c>
      <c r="S370" s="3" t="s">
        <v>1283</v>
      </c>
      <c r="T370" s="3" t="s">
        <v>152</v>
      </c>
      <c r="U370" s="3" t="s">
        <v>1284</v>
      </c>
      <c r="V370" s="4" t="s">
        <v>1285</v>
      </c>
    </row>
    <row r="371" spans="1:22" x14ac:dyDescent="0.2">
      <c r="A371" s="20" t="s">
        <v>459</v>
      </c>
      <c r="B371" s="20">
        <v>3263</v>
      </c>
      <c r="C371" s="21" t="s">
        <v>1</v>
      </c>
      <c r="D371" s="21" t="s">
        <v>2</v>
      </c>
      <c r="E371" s="21" t="s">
        <v>90</v>
      </c>
      <c r="F371" s="21" t="s">
        <v>94</v>
      </c>
      <c r="G371" s="21" t="s">
        <v>1778</v>
      </c>
      <c r="H371" s="22" t="str" cm="1">
        <f t="array" ref="H371">Reverse2_6(O371)</f>
        <v>00-010201</v>
      </c>
      <c r="I371" s="45" cm="1">
        <f t="array" ref="I371">HEX2DEC(Reverse(P371))</f>
        <v>93631153</v>
      </c>
      <c r="J371" s="45" cm="1">
        <f t="array" ref="J371">IF(Q371&lt;&gt;0, HEX2DEC(Reverse(Q371))-$I371,"")</f>
        <v>21</v>
      </c>
      <c r="K371" s="45" cm="1">
        <f t="array" ref="K371">IF(R371&lt;&gt;0, HEX2DEC(Reverse(R371))-$I371,"")</f>
        <v>159</v>
      </c>
      <c r="L371" s="45" t="str" cm="1">
        <f t="array" ref="L371">IF(S371&lt;&gt;0, HEX2DEC(Reverse(S371))-$I371,"")</f>
        <v/>
      </c>
      <c r="M371" s="45" cm="1">
        <f t="array" ref="M371">IF(T371&lt;&gt;0, HEX2DEC(Reverse(T371))-$I371,"")</f>
        <v>160</v>
      </c>
      <c r="O371" s="3">
        <v>1020100</v>
      </c>
      <c r="P371" s="3" t="s">
        <v>114</v>
      </c>
      <c r="Q371" s="3" t="s">
        <v>153</v>
      </c>
      <c r="R371" s="3" t="s">
        <v>1278</v>
      </c>
      <c r="S371" s="3">
        <v>0</v>
      </c>
      <c r="T371" s="3" t="s">
        <v>1280</v>
      </c>
      <c r="U371" s="3"/>
      <c r="V371" s="4"/>
    </row>
    <row r="372" spans="1:22" x14ac:dyDescent="0.2">
      <c r="A372" s="20" t="s">
        <v>460</v>
      </c>
      <c r="B372" s="20">
        <v>3264</v>
      </c>
      <c r="C372" s="21" t="s">
        <v>1</v>
      </c>
      <c r="D372" s="21" t="s">
        <v>2</v>
      </c>
      <c r="E372" s="21" t="s">
        <v>90</v>
      </c>
      <c r="F372" s="21" t="s">
        <v>94</v>
      </c>
      <c r="G372" s="21" t="s">
        <v>1778</v>
      </c>
      <c r="H372" s="22" t="str" cm="1">
        <f t="array" ref="H372">Reverse2_6(O372)</f>
        <v>00-010201</v>
      </c>
      <c r="I372" s="45" cm="1">
        <f t="array" ref="I372">HEX2DEC(Reverse(P372))</f>
        <v>93631153</v>
      </c>
      <c r="J372" s="45" cm="1">
        <f t="array" ref="J372">IF(Q372&lt;&gt;0, HEX2DEC(Reverse(Q372))-$I372,"")</f>
        <v>21</v>
      </c>
      <c r="K372" s="45" cm="1">
        <f t="array" ref="K372">IF(R372&lt;&gt;0, HEX2DEC(Reverse(R372))-$I372,"")</f>
        <v>160</v>
      </c>
      <c r="L372" s="45" t="str" cm="1">
        <f t="array" ref="L372">IF(S372&lt;&gt;0, HEX2DEC(Reverse(S372))-$I372,"")</f>
        <v/>
      </c>
      <c r="M372" s="45" cm="1">
        <f t="array" ref="M372">IF(T372&lt;&gt;0, HEX2DEC(Reverse(T372))-$I372,"")</f>
        <v>161</v>
      </c>
      <c r="O372" s="3">
        <v>1020100</v>
      </c>
      <c r="P372" s="3" t="s">
        <v>114</v>
      </c>
      <c r="Q372" s="3" t="s">
        <v>153</v>
      </c>
      <c r="R372" s="3" t="s">
        <v>1280</v>
      </c>
      <c r="S372" s="3">
        <v>0</v>
      </c>
      <c r="T372" s="3" t="s">
        <v>1283</v>
      </c>
      <c r="U372" s="3"/>
      <c r="V372" s="4"/>
    </row>
    <row r="373" spans="1:22" x14ac:dyDescent="0.2">
      <c r="A373" s="16" t="s">
        <v>461</v>
      </c>
      <c r="B373" s="16">
        <v>3269</v>
      </c>
      <c r="C373" s="15" t="s">
        <v>2</v>
      </c>
      <c r="D373" s="15" t="s">
        <v>1</v>
      </c>
      <c r="E373" s="15" t="s">
        <v>92</v>
      </c>
      <c r="F373" s="15" t="s">
        <v>96</v>
      </c>
      <c r="G373" s="15"/>
      <c r="H373" s="17" t="str" cm="1">
        <f t="array" ref="H373">Reverse2_6(O373)</f>
        <v>00-010101</v>
      </c>
      <c r="I373" s="18" cm="1">
        <f t="array" ref="I373">HEX2DEC(Reverse(P373))</f>
        <v>93631153</v>
      </c>
      <c r="J373" s="18" cm="1">
        <f t="array" ref="J373">IF(Q373&lt;&gt;0, HEX2DEC(Reverse(Q373))-$I373,"")</f>
        <v>161</v>
      </c>
      <c r="K373" s="18" cm="1">
        <f t="array" ref="K373">IF(R373&lt;&gt;0, HEX2DEC(Reverse(R373))-$I373,"")</f>
        <v>19</v>
      </c>
      <c r="L373" s="18" cm="1">
        <f t="array" ref="L373">IF(S373&lt;&gt;0, HEX2DEC(Reverse(S373))-$I373,"")</f>
        <v>162</v>
      </c>
      <c r="M373" s="18" cm="1">
        <f t="array" ref="M373">IF(T373&lt;&gt;0, HEX2DEC(Reverse(T373))-$I373,"")</f>
        <v>20</v>
      </c>
      <c r="O373" s="3">
        <v>1010100</v>
      </c>
      <c r="P373" s="3" t="s">
        <v>114</v>
      </c>
      <c r="Q373" s="3" t="s">
        <v>1283</v>
      </c>
      <c r="R373" s="30" t="s">
        <v>150</v>
      </c>
      <c r="S373" s="3" t="s">
        <v>1286</v>
      </c>
      <c r="T373" s="3" t="s">
        <v>152</v>
      </c>
      <c r="U373" s="3">
        <v>31313131</v>
      </c>
      <c r="V373" s="4" t="s">
        <v>1287</v>
      </c>
    </row>
    <row r="374" spans="1:22" x14ac:dyDescent="0.2">
      <c r="A374" s="20" t="s">
        <v>462</v>
      </c>
      <c r="B374" s="20">
        <v>3270</v>
      </c>
      <c r="C374" s="21" t="s">
        <v>1</v>
      </c>
      <c r="D374" s="21" t="s">
        <v>2</v>
      </c>
      <c r="E374" s="21" t="s">
        <v>90</v>
      </c>
      <c r="F374" s="21" t="s">
        <v>94</v>
      </c>
      <c r="G374" s="21" t="s">
        <v>1778</v>
      </c>
      <c r="H374" s="22" t="str" cm="1">
        <f t="array" ref="H374">Reverse2_6(O374)</f>
        <v>00-010201</v>
      </c>
      <c r="I374" s="45" cm="1">
        <f t="array" ref="I374">HEX2DEC(Reverse(P374))</f>
        <v>93631153</v>
      </c>
      <c r="J374" s="45" cm="1">
        <f t="array" ref="J374">IF(Q374&lt;&gt;0, HEX2DEC(Reverse(Q374))-$I374,"")</f>
        <v>21</v>
      </c>
      <c r="K374" s="45" cm="1">
        <f t="array" ref="K374">IF(R374&lt;&gt;0, HEX2DEC(Reverse(R374))-$I374,"")</f>
        <v>161</v>
      </c>
      <c r="L374" s="45" t="str" cm="1">
        <f t="array" ref="L374">IF(S374&lt;&gt;0, HEX2DEC(Reverse(S374))-$I374,"")</f>
        <v/>
      </c>
      <c r="M374" s="45" cm="1">
        <f t="array" ref="M374">IF(T374&lt;&gt;0, HEX2DEC(Reverse(T374))-$I374,"")</f>
        <v>162</v>
      </c>
      <c r="O374" s="3">
        <v>1020100</v>
      </c>
      <c r="P374" s="3" t="s">
        <v>114</v>
      </c>
      <c r="Q374" s="3" t="s">
        <v>153</v>
      </c>
      <c r="R374" s="3" t="s">
        <v>1283</v>
      </c>
      <c r="S374" s="3">
        <v>0</v>
      </c>
      <c r="T374" s="3" t="s">
        <v>1286</v>
      </c>
      <c r="U374" s="3"/>
      <c r="V374" s="4"/>
    </row>
    <row r="375" spans="1:22" x14ac:dyDescent="0.2">
      <c r="A375" s="16" t="s">
        <v>463</v>
      </c>
      <c r="B375" s="16">
        <v>3271</v>
      </c>
      <c r="C375" s="15" t="s">
        <v>2</v>
      </c>
      <c r="D375" s="15" t="s">
        <v>1</v>
      </c>
      <c r="E375" s="15" t="s">
        <v>92</v>
      </c>
      <c r="F375" s="15" t="s">
        <v>96</v>
      </c>
      <c r="G375" s="15"/>
      <c r="H375" s="17" t="str" cm="1">
        <f t="array" ref="H375">Reverse2_6(O375)</f>
        <v>00-010101</v>
      </c>
      <c r="I375" s="18" cm="1">
        <f t="array" ref="I375">HEX2DEC(Reverse(P375))</f>
        <v>93631153</v>
      </c>
      <c r="J375" s="18" cm="1">
        <f t="array" ref="J375">IF(Q375&lt;&gt;0, HEX2DEC(Reverse(Q375))-$I375,"")</f>
        <v>162</v>
      </c>
      <c r="K375" s="18" cm="1">
        <f t="array" ref="K375">IF(R375&lt;&gt;0, HEX2DEC(Reverse(R375))-$I375,"")</f>
        <v>19</v>
      </c>
      <c r="L375" s="18" cm="1">
        <f t="array" ref="L375">IF(S375&lt;&gt;0, HEX2DEC(Reverse(S375))-$I375,"")</f>
        <v>163</v>
      </c>
      <c r="M375" s="18" cm="1">
        <f t="array" ref="M375">IF(T375&lt;&gt;0, HEX2DEC(Reverse(T375))-$I375,"")</f>
        <v>20</v>
      </c>
      <c r="O375" s="3">
        <v>1010100</v>
      </c>
      <c r="P375" s="3" t="s">
        <v>114</v>
      </c>
      <c r="Q375" s="3" t="s">
        <v>1286</v>
      </c>
      <c r="R375" s="30" t="s">
        <v>150</v>
      </c>
      <c r="S375" s="3" t="s">
        <v>1288</v>
      </c>
      <c r="T375" s="3" t="s">
        <v>152</v>
      </c>
      <c r="U375" s="3" t="s">
        <v>1289</v>
      </c>
      <c r="V375" s="4" t="s">
        <v>1290</v>
      </c>
    </row>
    <row r="376" spans="1:22" x14ac:dyDescent="0.2">
      <c r="A376" s="16" t="s">
        <v>464</v>
      </c>
      <c r="B376" s="16">
        <v>3272</v>
      </c>
      <c r="C376" s="15" t="s">
        <v>2</v>
      </c>
      <c r="D376" s="15" t="s">
        <v>1</v>
      </c>
      <c r="E376" s="15" t="s">
        <v>92</v>
      </c>
      <c r="F376" s="15" t="s">
        <v>863</v>
      </c>
      <c r="G376" s="15"/>
      <c r="H376" s="17" t="str" cm="1">
        <f t="array" ref="H376">Reverse2_6(O376)</f>
        <v>00-010101</v>
      </c>
      <c r="I376" s="18" cm="1">
        <f t="array" ref="I376">HEX2DEC(Reverse(P376))</f>
        <v>93631153</v>
      </c>
      <c r="J376" s="18" cm="1">
        <f t="array" ref="J376">IF(Q376&lt;&gt;0, HEX2DEC(Reverse(Q376))-$I376,"")</f>
        <v>163</v>
      </c>
      <c r="K376" s="18" cm="1">
        <f t="array" ref="K376">IF(R376&lt;&gt;0, HEX2DEC(Reverse(R376))-$I376,"")</f>
        <v>19</v>
      </c>
      <c r="L376" s="18" cm="1">
        <f t="array" ref="L376">IF(S376&lt;&gt;0, HEX2DEC(Reverse(S376))-$I376,"")</f>
        <v>164</v>
      </c>
      <c r="M376" s="18" cm="1">
        <f t="array" ref="M376">IF(T376&lt;&gt;0, HEX2DEC(Reverse(T376))-$I376,"")</f>
        <v>20</v>
      </c>
      <c r="O376" s="3">
        <v>1010100</v>
      </c>
      <c r="P376" s="3" t="s">
        <v>114</v>
      </c>
      <c r="Q376" s="3" t="s">
        <v>1288</v>
      </c>
      <c r="R376" s="30" t="s">
        <v>150</v>
      </c>
      <c r="S376" s="3" t="s">
        <v>1291</v>
      </c>
      <c r="T376" s="3" t="s">
        <v>152</v>
      </c>
      <c r="U376" s="3" t="s">
        <v>1292</v>
      </c>
      <c r="V376" s="4" t="s">
        <v>1293</v>
      </c>
    </row>
    <row r="377" spans="1:22" x14ac:dyDescent="0.2">
      <c r="A377" s="20" t="s">
        <v>465</v>
      </c>
      <c r="B377" s="20">
        <v>3273</v>
      </c>
      <c r="C377" s="21" t="s">
        <v>1</v>
      </c>
      <c r="D377" s="21" t="s">
        <v>2</v>
      </c>
      <c r="E377" s="21" t="s">
        <v>90</v>
      </c>
      <c r="F377" s="21" t="s">
        <v>94</v>
      </c>
      <c r="G377" s="21" t="s">
        <v>1778</v>
      </c>
      <c r="H377" s="22" t="str" cm="1">
        <f t="array" ref="H377">Reverse2_6(O377)</f>
        <v>00-010201</v>
      </c>
      <c r="I377" s="45" cm="1">
        <f t="array" ref="I377">HEX2DEC(Reverse(P377))</f>
        <v>93631153</v>
      </c>
      <c r="J377" s="45" cm="1">
        <f t="array" ref="J377">IF(Q377&lt;&gt;0, HEX2DEC(Reverse(Q377))-$I377,"")</f>
        <v>21</v>
      </c>
      <c r="K377" s="45" cm="1">
        <f t="array" ref="K377">IF(R377&lt;&gt;0, HEX2DEC(Reverse(R377))-$I377,"")</f>
        <v>162</v>
      </c>
      <c r="L377" s="45" t="str" cm="1">
        <f t="array" ref="L377">IF(S377&lt;&gt;0, HEX2DEC(Reverse(S377))-$I377,"")</f>
        <v/>
      </c>
      <c r="M377" s="45" cm="1">
        <f t="array" ref="M377">IF(T377&lt;&gt;0, HEX2DEC(Reverse(T377))-$I377,"")</f>
        <v>163</v>
      </c>
      <c r="O377" s="3">
        <v>1020100</v>
      </c>
      <c r="P377" s="3" t="s">
        <v>114</v>
      </c>
      <c r="Q377" s="3" t="s">
        <v>153</v>
      </c>
      <c r="R377" s="3" t="s">
        <v>1286</v>
      </c>
      <c r="S377" s="3">
        <v>0</v>
      </c>
      <c r="T377" s="3" t="s">
        <v>1288</v>
      </c>
      <c r="U377" s="3"/>
      <c r="V377" s="4"/>
    </row>
    <row r="378" spans="1:22" x14ac:dyDescent="0.2">
      <c r="A378" s="20" t="s">
        <v>466</v>
      </c>
      <c r="B378" s="20">
        <v>3274</v>
      </c>
      <c r="C378" s="21" t="s">
        <v>1</v>
      </c>
      <c r="D378" s="21" t="s">
        <v>2</v>
      </c>
      <c r="E378" s="21" t="s">
        <v>90</v>
      </c>
      <c r="F378" s="21" t="s">
        <v>94</v>
      </c>
      <c r="G378" s="21" t="s">
        <v>1778</v>
      </c>
      <c r="H378" s="22" t="str" cm="1">
        <f t="array" ref="H378">Reverse2_6(O378)</f>
        <v>00-010201</v>
      </c>
      <c r="I378" s="45" cm="1">
        <f t="array" ref="I378">HEX2DEC(Reverse(P378))</f>
        <v>93631153</v>
      </c>
      <c r="J378" s="45" cm="1">
        <f t="array" ref="J378">IF(Q378&lt;&gt;0, HEX2DEC(Reverse(Q378))-$I378,"")</f>
        <v>21</v>
      </c>
      <c r="K378" s="45" cm="1">
        <f t="array" ref="K378">IF(R378&lt;&gt;0, HEX2DEC(Reverse(R378))-$I378,"")</f>
        <v>163</v>
      </c>
      <c r="L378" s="45" t="str" cm="1">
        <f t="array" ref="L378">IF(S378&lt;&gt;0, HEX2DEC(Reverse(S378))-$I378,"")</f>
        <v/>
      </c>
      <c r="M378" s="45" cm="1">
        <f t="array" ref="M378">IF(T378&lt;&gt;0, HEX2DEC(Reverse(T378))-$I378,"")</f>
        <v>164</v>
      </c>
      <c r="O378" s="3">
        <v>1020100</v>
      </c>
      <c r="P378" s="3" t="s">
        <v>114</v>
      </c>
      <c r="Q378" s="3" t="s">
        <v>153</v>
      </c>
      <c r="R378" s="3" t="s">
        <v>1288</v>
      </c>
      <c r="S378" s="3">
        <v>0</v>
      </c>
      <c r="T378" s="3" t="s">
        <v>1291</v>
      </c>
      <c r="U378" s="3"/>
      <c r="V378" s="4"/>
    </row>
    <row r="379" spans="1:22" x14ac:dyDescent="0.2">
      <c r="A379" s="16" t="s">
        <v>467</v>
      </c>
      <c r="B379" s="16">
        <v>3278</v>
      </c>
      <c r="C379" s="15" t="s">
        <v>2</v>
      </c>
      <c r="D379" s="15" t="s">
        <v>1</v>
      </c>
      <c r="E379" s="15" t="s">
        <v>92</v>
      </c>
      <c r="F379" s="15" t="s">
        <v>864</v>
      </c>
      <c r="G379" s="15"/>
      <c r="H379" s="17" t="str" cm="1">
        <f t="array" ref="H379">Reverse2_6(O379)</f>
        <v>00-010101</v>
      </c>
      <c r="I379" s="18" cm="1">
        <f t="array" ref="I379">HEX2DEC(Reverse(P379))</f>
        <v>93631153</v>
      </c>
      <c r="J379" s="18" cm="1">
        <f t="array" ref="J379">IF(Q379&lt;&gt;0, HEX2DEC(Reverse(Q379))-$I379,"")</f>
        <v>164</v>
      </c>
      <c r="K379" s="18" cm="1">
        <f t="array" ref="K379">IF(R379&lt;&gt;0, HEX2DEC(Reverse(R379))-$I379,"")</f>
        <v>20</v>
      </c>
      <c r="L379" s="18" cm="1">
        <f t="array" ref="L379">IF(S379&lt;&gt;0, HEX2DEC(Reverse(S379))-$I379,"")</f>
        <v>165</v>
      </c>
      <c r="M379" s="18" cm="1">
        <f t="array" ref="M379">IF(T379&lt;&gt;0, HEX2DEC(Reverse(T379))-$I379,"")</f>
        <v>21</v>
      </c>
      <c r="O379" s="3">
        <v>1010100</v>
      </c>
      <c r="P379" s="3" t="s">
        <v>114</v>
      </c>
      <c r="Q379" s="3" t="s">
        <v>1291</v>
      </c>
      <c r="R379" s="3" t="s">
        <v>152</v>
      </c>
      <c r="S379" s="3" t="s">
        <v>1294</v>
      </c>
      <c r="T379" s="3" t="s">
        <v>153</v>
      </c>
      <c r="U379" s="3">
        <v>31313131</v>
      </c>
      <c r="V379" s="4" t="s">
        <v>1295</v>
      </c>
    </row>
    <row r="380" spans="1:22" x14ac:dyDescent="0.2">
      <c r="A380" s="24" t="s">
        <v>468</v>
      </c>
      <c r="B380" s="24">
        <v>3279</v>
      </c>
      <c r="C380" s="25" t="s">
        <v>2</v>
      </c>
      <c r="D380" s="25" t="s">
        <v>1</v>
      </c>
      <c r="E380" s="25" t="s">
        <v>92</v>
      </c>
      <c r="F380" s="25" t="s">
        <v>94</v>
      </c>
      <c r="G380" s="25" t="s">
        <v>1777</v>
      </c>
      <c r="H380" s="26" t="str" cm="1">
        <f t="array" ref="H380">Reverse2_6(O380)</f>
        <v>00-010201</v>
      </c>
      <c r="I380" s="43" cm="1">
        <f t="array" ref="I380">HEX2DEC(Reverse(P380))</f>
        <v>93631153</v>
      </c>
      <c r="J380" s="43" cm="1">
        <f t="array" ref="J380">IF(Q380&lt;&gt;0, HEX2DEC(Reverse(Q380))-$I380,"")</f>
        <v>164</v>
      </c>
      <c r="K380" s="43" cm="1">
        <f t="array" ref="K380">IF(R380&lt;&gt;0, HEX2DEC(Reverse(R380))-$I380,"")</f>
        <v>21</v>
      </c>
      <c r="L380" s="43" t="str" cm="1">
        <f t="array" ref="L380">IF(S380&lt;&gt;0, HEX2DEC(Reverse(S380))-$I380,"")</f>
        <v/>
      </c>
      <c r="M380" s="43" cm="1">
        <f t="array" ref="M380">IF(T380&lt;&gt;0, HEX2DEC(Reverse(T380))-$I380,"")</f>
        <v>22</v>
      </c>
      <c r="O380" s="26">
        <v>1020100</v>
      </c>
      <c r="P380" s="26" t="s">
        <v>114</v>
      </c>
      <c r="Q380" s="26" t="s">
        <v>1291</v>
      </c>
      <c r="R380" s="13" t="s">
        <v>153</v>
      </c>
      <c r="S380" s="26">
        <v>0</v>
      </c>
      <c r="T380" s="26" t="s">
        <v>154</v>
      </c>
      <c r="U380" s="3"/>
      <c r="V380" s="4"/>
    </row>
    <row r="381" spans="1:22" x14ac:dyDescent="0.2">
      <c r="A381" s="20" t="s">
        <v>469</v>
      </c>
      <c r="B381" s="20">
        <v>3280</v>
      </c>
      <c r="C381" s="21" t="s">
        <v>1</v>
      </c>
      <c r="D381" s="21" t="s">
        <v>2</v>
      </c>
      <c r="E381" s="21" t="s">
        <v>90</v>
      </c>
      <c r="F381" s="21" t="s">
        <v>94</v>
      </c>
      <c r="G381" s="21" t="s">
        <v>1778</v>
      </c>
      <c r="H381" s="22" t="str" cm="1">
        <f t="array" ref="H381">Reverse2_6(O381)</f>
        <v>00-010201</v>
      </c>
      <c r="I381" s="45" cm="1">
        <f t="array" ref="I381">HEX2DEC(Reverse(P381))</f>
        <v>93631153</v>
      </c>
      <c r="J381" s="45" cm="1">
        <f t="array" ref="J381">IF(Q381&lt;&gt;0, HEX2DEC(Reverse(Q381))-$I381,"")</f>
        <v>21</v>
      </c>
      <c r="K381" s="45" cm="1">
        <f t="array" ref="K381">IF(R381&lt;&gt;0, HEX2DEC(Reverse(R381))-$I381,"")</f>
        <v>164</v>
      </c>
      <c r="L381" s="45" t="str" cm="1">
        <f t="array" ref="L381">IF(S381&lt;&gt;0, HEX2DEC(Reverse(S381))-$I381,"")</f>
        <v/>
      </c>
      <c r="M381" s="45" cm="1">
        <f t="array" ref="M381">IF(T381&lt;&gt;0, HEX2DEC(Reverse(T381))-$I381,"")</f>
        <v>165</v>
      </c>
      <c r="O381" s="3">
        <v>1020100</v>
      </c>
      <c r="P381" s="3" t="s">
        <v>114</v>
      </c>
      <c r="Q381" s="3" t="s">
        <v>153</v>
      </c>
      <c r="R381" s="3" t="s">
        <v>1291</v>
      </c>
      <c r="S381" s="3">
        <v>0</v>
      </c>
      <c r="T381" s="3" t="s">
        <v>1294</v>
      </c>
      <c r="U381" s="3"/>
      <c r="V381" s="4"/>
    </row>
    <row r="382" spans="1:22" x14ac:dyDescent="0.2">
      <c r="A382" s="16" t="s">
        <v>470</v>
      </c>
      <c r="B382" s="16">
        <v>3288</v>
      </c>
      <c r="C382" s="15" t="s">
        <v>2</v>
      </c>
      <c r="D382" s="15" t="s">
        <v>1</v>
      </c>
      <c r="E382" s="15" t="s">
        <v>92</v>
      </c>
      <c r="F382" s="15" t="s">
        <v>96</v>
      </c>
      <c r="G382" s="15"/>
      <c r="H382" s="17" t="str" cm="1">
        <f t="array" ref="H382">Reverse2_6(O382)</f>
        <v>00-010101</v>
      </c>
      <c r="I382" s="18" cm="1">
        <f t="array" ref="I382">HEX2DEC(Reverse(P382))</f>
        <v>93631153</v>
      </c>
      <c r="J382" s="18" cm="1">
        <f t="array" ref="J382">IF(Q382&lt;&gt;0, HEX2DEC(Reverse(Q382))-$I382,"")</f>
        <v>165</v>
      </c>
      <c r="K382" s="18" cm="1">
        <f t="array" ref="K382">IF(R382&lt;&gt;0, HEX2DEC(Reverse(R382))-$I382,"")</f>
        <v>21</v>
      </c>
      <c r="L382" s="18" cm="1">
        <f t="array" ref="L382">IF(S382&lt;&gt;0, HEX2DEC(Reverse(S382))-$I382,"")</f>
        <v>166</v>
      </c>
      <c r="M382" s="18" cm="1">
        <f t="array" ref="M382">IF(T382&lt;&gt;0, HEX2DEC(Reverse(T382))-$I382,"")</f>
        <v>22</v>
      </c>
      <c r="O382" s="3">
        <v>1010100</v>
      </c>
      <c r="P382" s="3" t="s">
        <v>114</v>
      </c>
      <c r="Q382" s="3" t="s">
        <v>1294</v>
      </c>
      <c r="R382" s="13" t="s">
        <v>153</v>
      </c>
      <c r="S382" s="3" t="s">
        <v>1296</v>
      </c>
      <c r="T382" s="3" t="s">
        <v>154</v>
      </c>
      <c r="U382" s="3">
        <v>31313131</v>
      </c>
      <c r="V382" s="4" t="s">
        <v>1297</v>
      </c>
    </row>
    <row r="383" spans="1:22" x14ac:dyDescent="0.2">
      <c r="A383" s="16" t="s">
        <v>471</v>
      </c>
      <c r="B383" s="16">
        <v>3289</v>
      </c>
      <c r="C383" s="15" t="s">
        <v>2</v>
      </c>
      <c r="D383" s="15" t="s">
        <v>1</v>
      </c>
      <c r="E383" s="15" t="s">
        <v>92</v>
      </c>
      <c r="F383" s="15" t="s">
        <v>865</v>
      </c>
      <c r="G383" s="15"/>
      <c r="H383" s="17" t="str" cm="1">
        <f t="array" ref="H383">Reverse2_6(O383)</f>
        <v>00-010101</v>
      </c>
      <c r="I383" s="18" cm="1">
        <f t="array" ref="I383">HEX2DEC(Reverse(P383))</f>
        <v>93631153</v>
      </c>
      <c r="J383" s="18" cm="1">
        <f t="array" ref="J383">IF(Q383&lt;&gt;0, HEX2DEC(Reverse(Q383))-$I383,"")</f>
        <v>166</v>
      </c>
      <c r="K383" s="18" cm="1">
        <f t="array" ref="K383">IF(R383&lt;&gt;0, HEX2DEC(Reverse(R383))-$I383,"")</f>
        <v>21</v>
      </c>
      <c r="L383" s="18" cm="1">
        <f t="array" ref="L383">IF(S383&lt;&gt;0, HEX2DEC(Reverse(S383))-$I383,"")</f>
        <v>167</v>
      </c>
      <c r="M383" s="18" cm="1">
        <f t="array" ref="M383">IF(T383&lt;&gt;0, HEX2DEC(Reverse(T383))-$I383,"")</f>
        <v>22</v>
      </c>
      <c r="O383" s="3">
        <v>1010100</v>
      </c>
      <c r="P383" s="3" t="s">
        <v>114</v>
      </c>
      <c r="Q383" s="3" t="s">
        <v>1296</v>
      </c>
      <c r="R383" s="13" t="s">
        <v>153</v>
      </c>
      <c r="S383" s="3" t="s">
        <v>1298</v>
      </c>
      <c r="T383" s="3" t="s">
        <v>154</v>
      </c>
      <c r="U383" s="3" t="s">
        <v>1299</v>
      </c>
      <c r="V383" s="4" t="s">
        <v>1300</v>
      </c>
    </row>
    <row r="384" spans="1:22" x14ac:dyDescent="0.2">
      <c r="A384" s="20" t="s">
        <v>472</v>
      </c>
      <c r="B384" s="20">
        <v>3290</v>
      </c>
      <c r="C384" s="21" t="s">
        <v>1</v>
      </c>
      <c r="D384" s="21" t="s">
        <v>2</v>
      </c>
      <c r="E384" s="21" t="s">
        <v>90</v>
      </c>
      <c r="F384" s="21" t="s">
        <v>94</v>
      </c>
      <c r="G384" s="21" t="s">
        <v>1778</v>
      </c>
      <c r="H384" s="22" t="str" cm="1">
        <f t="array" ref="H384">Reverse2_6(O384)</f>
        <v>00-010201</v>
      </c>
      <c r="I384" s="45" cm="1">
        <f t="array" ref="I384">HEX2DEC(Reverse(P384))</f>
        <v>93631153</v>
      </c>
      <c r="J384" s="45" cm="1">
        <f t="array" ref="J384">IF(Q384&lt;&gt;0, HEX2DEC(Reverse(Q384))-$I384,"")</f>
        <v>21</v>
      </c>
      <c r="K384" s="45" cm="1">
        <f t="array" ref="K384">IF(R384&lt;&gt;0, HEX2DEC(Reverse(R384))-$I384,"")</f>
        <v>165</v>
      </c>
      <c r="L384" s="45" t="str" cm="1">
        <f t="array" ref="L384">IF(S384&lt;&gt;0, HEX2DEC(Reverse(S384))-$I384,"")</f>
        <v/>
      </c>
      <c r="M384" s="45" cm="1">
        <f t="array" ref="M384">IF(T384&lt;&gt;0, HEX2DEC(Reverse(T384))-$I384,"")</f>
        <v>166</v>
      </c>
      <c r="O384" s="3">
        <v>1020100</v>
      </c>
      <c r="P384" s="3" t="s">
        <v>114</v>
      </c>
      <c r="Q384" s="3" t="s">
        <v>153</v>
      </c>
      <c r="R384" s="3" t="s">
        <v>1294</v>
      </c>
      <c r="S384" s="3">
        <v>0</v>
      </c>
      <c r="T384" s="3" t="s">
        <v>1296</v>
      </c>
      <c r="U384" s="3"/>
      <c r="V384" s="4"/>
    </row>
    <row r="385" spans="1:22" x14ac:dyDescent="0.2">
      <c r="A385" s="20" t="s">
        <v>473</v>
      </c>
      <c r="B385" s="20">
        <v>3291</v>
      </c>
      <c r="C385" s="21" t="s">
        <v>1</v>
      </c>
      <c r="D385" s="21" t="s">
        <v>2</v>
      </c>
      <c r="E385" s="21" t="s">
        <v>90</v>
      </c>
      <c r="F385" s="21" t="s">
        <v>94</v>
      </c>
      <c r="G385" s="21" t="s">
        <v>1778</v>
      </c>
      <c r="H385" s="22" t="str" cm="1">
        <f t="array" ref="H385">Reverse2_6(O385)</f>
        <v>00-010201</v>
      </c>
      <c r="I385" s="45" cm="1">
        <f t="array" ref="I385">HEX2DEC(Reverse(P385))</f>
        <v>93631153</v>
      </c>
      <c r="J385" s="45" cm="1">
        <f t="array" ref="J385">IF(Q385&lt;&gt;0, HEX2DEC(Reverse(Q385))-$I385,"")</f>
        <v>21</v>
      </c>
      <c r="K385" s="45" cm="1">
        <f t="array" ref="K385">IF(R385&lt;&gt;0, HEX2DEC(Reverse(R385))-$I385,"")</f>
        <v>166</v>
      </c>
      <c r="L385" s="45" t="str" cm="1">
        <f t="array" ref="L385">IF(S385&lt;&gt;0, HEX2DEC(Reverse(S385))-$I385,"")</f>
        <v/>
      </c>
      <c r="M385" s="45" cm="1">
        <f t="array" ref="M385">IF(T385&lt;&gt;0, HEX2DEC(Reverse(T385))-$I385,"")</f>
        <v>167</v>
      </c>
      <c r="O385" s="3">
        <v>1020100</v>
      </c>
      <c r="P385" s="3" t="s">
        <v>114</v>
      </c>
      <c r="Q385" s="3" t="s">
        <v>153</v>
      </c>
      <c r="R385" s="3" t="s">
        <v>1296</v>
      </c>
      <c r="S385" s="3">
        <v>0</v>
      </c>
      <c r="T385" s="3" t="s">
        <v>1298</v>
      </c>
      <c r="U385" s="3"/>
      <c r="V385" s="4"/>
    </row>
    <row r="386" spans="1:22" x14ac:dyDescent="0.2">
      <c r="A386" s="16" t="s">
        <v>474</v>
      </c>
      <c r="B386" s="16">
        <v>3298</v>
      </c>
      <c r="C386" s="15" t="s">
        <v>2</v>
      </c>
      <c r="D386" s="15" t="s">
        <v>1</v>
      </c>
      <c r="E386" s="15" t="s">
        <v>92</v>
      </c>
      <c r="F386" s="15" t="s">
        <v>96</v>
      </c>
      <c r="G386" s="15"/>
      <c r="H386" s="17" t="str" cm="1">
        <f t="array" ref="H386">Reverse2_6(O386)</f>
        <v>00-010101</v>
      </c>
      <c r="I386" s="18" cm="1">
        <f t="array" ref="I386">HEX2DEC(Reverse(P386))</f>
        <v>93631153</v>
      </c>
      <c r="J386" s="18" cm="1">
        <f t="array" ref="J386">IF(Q386&lt;&gt;0, HEX2DEC(Reverse(Q386))-$I386,"")</f>
        <v>167</v>
      </c>
      <c r="K386" s="18" cm="1">
        <f t="array" ref="K386">IF(R386&lt;&gt;0, HEX2DEC(Reverse(R386))-$I386,"")</f>
        <v>21</v>
      </c>
      <c r="L386" s="18" cm="1">
        <f t="array" ref="L386">IF(S386&lt;&gt;0, HEX2DEC(Reverse(S386))-$I386,"")</f>
        <v>168</v>
      </c>
      <c r="M386" s="18" cm="1">
        <f t="array" ref="M386">IF(T386&lt;&gt;0, HEX2DEC(Reverse(T386))-$I386,"")</f>
        <v>22</v>
      </c>
      <c r="O386" s="3">
        <v>1010100</v>
      </c>
      <c r="P386" s="3" t="s">
        <v>114</v>
      </c>
      <c r="Q386" s="3" t="s">
        <v>1298</v>
      </c>
      <c r="R386" s="13" t="s">
        <v>153</v>
      </c>
      <c r="S386" s="3" t="s">
        <v>1301</v>
      </c>
      <c r="T386" s="3" t="s">
        <v>154</v>
      </c>
      <c r="U386" s="3">
        <v>31313131</v>
      </c>
      <c r="V386" s="4" t="s">
        <v>151</v>
      </c>
    </row>
    <row r="387" spans="1:22" x14ac:dyDescent="0.2">
      <c r="A387" s="16" t="s">
        <v>475</v>
      </c>
      <c r="B387" s="16">
        <v>3299</v>
      </c>
      <c r="C387" s="15" t="s">
        <v>2</v>
      </c>
      <c r="D387" s="15" t="s">
        <v>1</v>
      </c>
      <c r="E387" s="15" t="s">
        <v>92</v>
      </c>
      <c r="F387" s="15" t="s">
        <v>865</v>
      </c>
      <c r="G387" s="15"/>
      <c r="H387" s="17" t="str" cm="1">
        <f t="array" ref="H387">Reverse2_6(O387)</f>
        <v>00-010101</v>
      </c>
      <c r="I387" s="18" cm="1">
        <f t="array" ref="I387">HEX2DEC(Reverse(P387))</f>
        <v>93631153</v>
      </c>
      <c r="J387" s="18" cm="1">
        <f t="array" ref="J387">IF(Q387&lt;&gt;0, HEX2DEC(Reverse(Q387))-$I387,"")</f>
        <v>168</v>
      </c>
      <c r="K387" s="18" cm="1">
        <f t="array" ref="K387">IF(R387&lt;&gt;0, HEX2DEC(Reverse(R387))-$I387,"")</f>
        <v>21</v>
      </c>
      <c r="L387" s="18" cm="1">
        <f t="array" ref="L387">IF(S387&lt;&gt;0, HEX2DEC(Reverse(S387))-$I387,"")</f>
        <v>169</v>
      </c>
      <c r="M387" s="18" cm="1">
        <f t="array" ref="M387">IF(T387&lt;&gt;0, HEX2DEC(Reverse(T387))-$I387,"")</f>
        <v>22</v>
      </c>
      <c r="O387" s="3">
        <v>1010100</v>
      </c>
      <c r="P387" s="3" t="s">
        <v>114</v>
      </c>
      <c r="Q387" s="3" t="s">
        <v>1301</v>
      </c>
      <c r="R387" s="13" t="s">
        <v>153</v>
      </c>
      <c r="S387" s="3" t="s">
        <v>1302</v>
      </c>
      <c r="T387" s="3" t="s">
        <v>154</v>
      </c>
      <c r="U387" s="3" t="s">
        <v>1303</v>
      </c>
      <c r="V387" s="4" t="s">
        <v>1304</v>
      </c>
    </row>
    <row r="388" spans="1:22" x14ac:dyDescent="0.2">
      <c r="A388" s="20" t="s">
        <v>476</v>
      </c>
      <c r="B388" s="20">
        <v>3300</v>
      </c>
      <c r="C388" s="21" t="s">
        <v>1</v>
      </c>
      <c r="D388" s="21" t="s">
        <v>2</v>
      </c>
      <c r="E388" s="21" t="s">
        <v>90</v>
      </c>
      <c r="F388" s="21" t="s">
        <v>94</v>
      </c>
      <c r="G388" s="21" t="s">
        <v>1778</v>
      </c>
      <c r="H388" s="22" t="str" cm="1">
        <f t="array" ref="H388">Reverse2_6(O388)</f>
        <v>00-010201</v>
      </c>
      <c r="I388" s="45" cm="1">
        <f t="array" ref="I388">HEX2DEC(Reverse(P388))</f>
        <v>93631153</v>
      </c>
      <c r="J388" s="45" cm="1">
        <f t="array" ref="J388">IF(Q388&lt;&gt;0, HEX2DEC(Reverse(Q388))-$I388,"")</f>
        <v>21</v>
      </c>
      <c r="K388" s="45" cm="1">
        <f t="array" ref="K388">IF(R388&lt;&gt;0, HEX2DEC(Reverse(R388))-$I388,"")</f>
        <v>167</v>
      </c>
      <c r="L388" s="45" t="str" cm="1">
        <f t="array" ref="L388">IF(S388&lt;&gt;0, HEX2DEC(Reverse(S388))-$I388,"")</f>
        <v/>
      </c>
      <c r="M388" s="45" cm="1">
        <f t="array" ref="M388">IF(T388&lt;&gt;0, HEX2DEC(Reverse(T388))-$I388,"")</f>
        <v>168</v>
      </c>
      <c r="O388" s="3">
        <v>1020100</v>
      </c>
      <c r="P388" s="3" t="s">
        <v>114</v>
      </c>
      <c r="Q388" s="3" t="s">
        <v>153</v>
      </c>
      <c r="R388" s="3" t="s">
        <v>1298</v>
      </c>
      <c r="S388" s="3">
        <v>0</v>
      </c>
      <c r="T388" s="3" t="s">
        <v>1301</v>
      </c>
      <c r="U388" s="3"/>
      <c r="V388" s="4"/>
    </row>
    <row r="389" spans="1:22" x14ac:dyDescent="0.2">
      <c r="A389" s="20" t="s">
        <v>477</v>
      </c>
      <c r="B389" s="20">
        <v>3301</v>
      </c>
      <c r="C389" s="21" t="s">
        <v>1</v>
      </c>
      <c r="D389" s="21" t="s">
        <v>2</v>
      </c>
      <c r="E389" s="21" t="s">
        <v>90</v>
      </c>
      <c r="F389" s="21" t="s">
        <v>94</v>
      </c>
      <c r="G389" s="21" t="s">
        <v>1778</v>
      </c>
      <c r="H389" s="22" t="str" cm="1">
        <f t="array" ref="H389">Reverse2_6(O389)</f>
        <v>00-010201</v>
      </c>
      <c r="I389" s="45" cm="1">
        <f t="array" ref="I389">HEX2DEC(Reverse(P389))</f>
        <v>93631153</v>
      </c>
      <c r="J389" s="45" cm="1">
        <f t="array" ref="J389">IF(Q389&lt;&gt;0, HEX2DEC(Reverse(Q389))-$I389,"")</f>
        <v>21</v>
      </c>
      <c r="K389" s="45" cm="1">
        <f t="array" ref="K389">IF(R389&lt;&gt;0, HEX2DEC(Reverse(R389))-$I389,"")</f>
        <v>168</v>
      </c>
      <c r="L389" s="45" t="str" cm="1">
        <f t="array" ref="L389">IF(S389&lt;&gt;0, HEX2DEC(Reverse(S389))-$I389,"")</f>
        <v/>
      </c>
      <c r="M389" s="45" cm="1">
        <f t="array" ref="M389">IF(T389&lt;&gt;0, HEX2DEC(Reverse(T389))-$I389,"")</f>
        <v>169</v>
      </c>
      <c r="O389" s="3">
        <v>1020100</v>
      </c>
      <c r="P389" s="3" t="s">
        <v>114</v>
      </c>
      <c r="Q389" s="3" t="s">
        <v>153</v>
      </c>
      <c r="R389" s="3" t="s">
        <v>1301</v>
      </c>
      <c r="S389" s="3">
        <v>0</v>
      </c>
      <c r="T389" s="3" t="s">
        <v>1302</v>
      </c>
      <c r="U389" s="3"/>
      <c r="V389" s="4"/>
    </row>
    <row r="390" spans="1:22" x14ac:dyDescent="0.2">
      <c r="A390" s="16" t="s">
        <v>478</v>
      </c>
      <c r="B390" s="16">
        <v>3309</v>
      </c>
      <c r="C390" s="15" t="s">
        <v>2</v>
      </c>
      <c r="D390" s="15" t="s">
        <v>1</v>
      </c>
      <c r="E390" s="15" t="s">
        <v>92</v>
      </c>
      <c r="F390" s="15" t="s">
        <v>96</v>
      </c>
      <c r="G390" s="15"/>
      <c r="H390" s="17" t="str" cm="1">
        <f t="array" ref="H390">Reverse2_6(O390)</f>
        <v>00-010101</v>
      </c>
      <c r="I390" s="18" cm="1">
        <f t="array" ref="I390">HEX2DEC(Reverse(P390))</f>
        <v>93631153</v>
      </c>
      <c r="J390" s="18" cm="1">
        <f t="array" ref="J390">IF(Q390&lt;&gt;0, HEX2DEC(Reverse(Q390))-$I390,"")</f>
        <v>169</v>
      </c>
      <c r="K390" s="18" cm="1">
        <f t="array" ref="K390">IF(R390&lt;&gt;0, HEX2DEC(Reverse(R390))-$I390,"")</f>
        <v>21</v>
      </c>
      <c r="L390" s="18" cm="1">
        <f t="array" ref="L390">IF(S390&lt;&gt;0, HEX2DEC(Reverse(S390))-$I390,"")</f>
        <v>170</v>
      </c>
      <c r="M390" s="18" cm="1">
        <f t="array" ref="M390">IF(T390&lt;&gt;0, HEX2DEC(Reverse(T390))-$I390,"")</f>
        <v>22</v>
      </c>
      <c r="O390" s="3">
        <v>1010100</v>
      </c>
      <c r="P390" s="3" t="s">
        <v>114</v>
      </c>
      <c r="Q390" s="3" t="s">
        <v>1302</v>
      </c>
      <c r="R390" s="13" t="s">
        <v>153</v>
      </c>
      <c r="S390" s="3" t="s">
        <v>1305</v>
      </c>
      <c r="T390" s="3" t="s">
        <v>154</v>
      </c>
      <c r="U390" s="3">
        <v>31313131</v>
      </c>
      <c r="V390" s="4" t="s">
        <v>1306</v>
      </c>
    </row>
    <row r="391" spans="1:22" x14ac:dyDescent="0.2">
      <c r="A391" s="20" t="s">
        <v>479</v>
      </c>
      <c r="B391" s="20">
        <v>3310</v>
      </c>
      <c r="C391" s="21" t="s">
        <v>1</v>
      </c>
      <c r="D391" s="21" t="s">
        <v>2</v>
      </c>
      <c r="E391" s="21" t="s">
        <v>90</v>
      </c>
      <c r="F391" s="21" t="s">
        <v>94</v>
      </c>
      <c r="G391" s="21" t="s">
        <v>1778</v>
      </c>
      <c r="H391" s="22" t="str" cm="1">
        <f t="array" ref="H391">Reverse2_6(O391)</f>
        <v>00-010201</v>
      </c>
      <c r="I391" s="45" cm="1">
        <f t="array" ref="I391">HEX2DEC(Reverse(P391))</f>
        <v>93631153</v>
      </c>
      <c r="J391" s="45" cm="1">
        <f t="array" ref="J391">IF(Q391&lt;&gt;0, HEX2DEC(Reverse(Q391))-$I391,"")</f>
        <v>21</v>
      </c>
      <c r="K391" s="45" cm="1">
        <f t="array" ref="K391">IF(R391&lt;&gt;0, HEX2DEC(Reverse(R391))-$I391,"")</f>
        <v>169</v>
      </c>
      <c r="L391" s="45" t="str" cm="1">
        <f t="array" ref="L391">IF(S391&lt;&gt;0, HEX2DEC(Reverse(S391))-$I391,"")</f>
        <v/>
      </c>
      <c r="M391" s="45" cm="1">
        <f t="array" ref="M391">IF(T391&lt;&gt;0, HEX2DEC(Reverse(T391))-$I391,"")</f>
        <v>170</v>
      </c>
      <c r="O391" s="3">
        <v>1020100</v>
      </c>
      <c r="P391" s="3" t="s">
        <v>114</v>
      </c>
      <c r="Q391" s="3" t="s">
        <v>153</v>
      </c>
      <c r="R391" s="3" t="s">
        <v>1302</v>
      </c>
      <c r="S391" s="3">
        <v>0</v>
      </c>
      <c r="T391" s="3" t="s">
        <v>1305</v>
      </c>
      <c r="U391" s="3"/>
      <c r="V391" s="4"/>
    </row>
    <row r="392" spans="1:22" x14ac:dyDescent="0.2">
      <c r="A392" s="16" t="s">
        <v>480</v>
      </c>
      <c r="B392" s="16">
        <v>3311</v>
      </c>
      <c r="C392" s="15" t="s">
        <v>2</v>
      </c>
      <c r="D392" s="15" t="s">
        <v>1</v>
      </c>
      <c r="E392" s="15" t="s">
        <v>92</v>
      </c>
      <c r="F392" s="15" t="s">
        <v>866</v>
      </c>
      <c r="G392" s="15"/>
      <c r="H392" s="17" t="str" cm="1">
        <f t="array" ref="H392">Reverse2_6(O392)</f>
        <v>00-010101</v>
      </c>
      <c r="I392" s="18" cm="1">
        <f t="array" ref="I392">HEX2DEC(Reverse(P392))</f>
        <v>93631153</v>
      </c>
      <c r="J392" s="18" cm="1">
        <f t="array" ref="J392">IF(Q392&lt;&gt;0, HEX2DEC(Reverse(Q392))-$I392,"")</f>
        <v>170</v>
      </c>
      <c r="K392" s="18" cm="1">
        <f t="array" ref="K392">IF(R392&lt;&gt;0, HEX2DEC(Reverse(R392))-$I392,"")</f>
        <v>21</v>
      </c>
      <c r="L392" s="18" cm="1">
        <f t="array" ref="L392">IF(S392&lt;&gt;0, HEX2DEC(Reverse(S392))-$I392,"")</f>
        <v>171</v>
      </c>
      <c r="M392" s="18" cm="1">
        <f t="array" ref="M392">IF(T392&lt;&gt;0, HEX2DEC(Reverse(T392))-$I392,"")</f>
        <v>22</v>
      </c>
      <c r="O392" s="3">
        <v>1010100</v>
      </c>
      <c r="P392" s="3" t="s">
        <v>114</v>
      </c>
      <c r="Q392" s="3" t="s">
        <v>1305</v>
      </c>
      <c r="R392" s="13" t="s">
        <v>153</v>
      </c>
      <c r="S392" s="3" t="s">
        <v>1307</v>
      </c>
      <c r="T392" s="3" t="s">
        <v>154</v>
      </c>
      <c r="U392" s="3" t="s">
        <v>1308</v>
      </c>
      <c r="V392" s="4" t="s">
        <v>1309</v>
      </c>
    </row>
    <row r="393" spans="1:22" x14ac:dyDescent="0.2">
      <c r="A393" s="20" t="s">
        <v>481</v>
      </c>
      <c r="B393" s="20">
        <v>3312</v>
      </c>
      <c r="C393" s="21" t="s">
        <v>1</v>
      </c>
      <c r="D393" s="21" t="s">
        <v>2</v>
      </c>
      <c r="E393" s="21" t="s">
        <v>90</v>
      </c>
      <c r="F393" s="21" t="s">
        <v>94</v>
      </c>
      <c r="G393" s="21" t="s">
        <v>1778</v>
      </c>
      <c r="H393" s="22" t="str" cm="1">
        <f t="array" ref="H393">Reverse2_6(O393)</f>
        <v>00-010201</v>
      </c>
      <c r="I393" s="45" cm="1">
        <f t="array" ref="I393">HEX2DEC(Reverse(P393))</f>
        <v>93631153</v>
      </c>
      <c r="J393" s="45" cm="1">
        <f t="array" ref="J393">IF(Q393&lt;&gt;0, HEX2DEC(Reverse(Q393))-$I393,"")</f>
        <v>21</v>
      </c>
      <c r="K393" s="45" cm="1">
        <f t="array" ref="K393">IF(R393&lt;&gt;0, HEX2DEC(Reverse(R393))-$I393,"")</f>
        <v>170</v>
      </c>
      <c r="L393" s="45" t="str" cm="1">
        <f t="array" ref="L393">IF(S393&lt;&gt;0, HEX2DEC(Reverse(S393))-$I393,"")</f>
        <v/>
      </c>
      <c r="M393" s="45" cm="1">
        <f t="array" ref="M393">IF(T393&lt;&gt;0, HEX2DEC(Reverse(T393))-$I393,"")</f>
        <v>171</v>
      </c>
      <c r="O393" s="3">
        <v>1020100</v>
      </c>
      <c r="P393" s="3" t="s">
        <v>114</v>
      </c>
      <c r="Q393" s="3" t="s">
        <v>153</v>
      </c>
      <c r="R393" s="3" t="s">
        <v>1305</v>
      </c>
      <c r="S393" s="3">
        <v>0</v>
      </c>
      <c r="T393" s="3" t="s">
        <v>1307</v>
      </c>
      <c r="U393" s="3"/>
      <c r="V393" s="4"/>
    </row>
    <row r="394" spans="1:22" x14ac:dyDescent="0.2">
      <c r="A394" s="16" t="s">
        <v>482</v>
      </c>
      <c r="B394" s="16">
        <v>3329</v>
      </c>
      <c r="C394" s="15" t="s">
        <v>2</v>
      </c>
      <c r="D394" s="15" t="s">
        <v>1</v>
      </c>
      <c r="E394" s="15" t="s">
        <v>92</v>
      </c>
      <c r="F394" s="15" t="s">
        <v>96</v>
      </c>
      <c r="G394" s="15"/>
      <c r="H394" s="17" t="str" cm="1">
        <f t="array" ref="H394">Reverse2_6(O394)</f>
        <v>00-010101</v>
      </c>
      <c r="I394" s="18" cm="1">
        <f t="array" ref="I394">HEX2DEC(Reverse(P394))</f>
        <v>93631153</v>
      </c>
      <c r="J394" s="18" cm="1">
        <f t="array" ref="J394">IF(Q394&lt;&gt;0, HEX2DEC(Reverse(Q394))-$I394,"")</f>
        <v>171</v>
      </c>
      <c r="K394" s="18" cm="1">
        <f t="array" ref="K394">IF(R394&lt;&gt;0, HEX2DEC(Reverse(R394))-$I394,"")</f>
        <v>21</v>
      </c>
      <c r="L394" s="18" cm="1">
        <f t="array" ref="L394">IF(S394&lt;&gt;0, HEX2DEC(Reverse(S394))-$I394,"")</f>
        <v>172</v>
      </c>
      <c r="M394" s="18" cm="1">
        <f t="array" ref="M394">IF(T394&lt;&gt;0, HEX2DEC(Reverse(T394))-$I394,"")</f>
        <v>22</v>
      </c>
      <c r="O394" s="3">
        <v>1010100</v>
      </c>
      <c r="P394" s="3" t="s">
        <v>114</v>
      </c>
      <c r="Q394" s="3" t="s">
        <v>1307</v>
      </c>
      <c r="R394" s="13" t="s">
        <v>153</v>
      </c>
      <c r="S394" s="3" t="s">
        <v>1310</v>
      </c>
      <c r="T394" s="3" t="s">
        <v>154</v>
      </c>
      <c r="U394" s="3">
        <v>31313131</v>
      </c>
      <c r="V394" s="4" t="s">
        <v>141</v>
      </c>
    </row>
    <row r="395" spans="1:22" x14ac:dyDescent="0.2">
      <c r="A395" s="16" t="s">
        <v>483</v>
      </c>
      <c r="B395" s="16">
        <v>3330</v>
      </c>
      <c r="C395" s="15" t="s">
        <v>2</v>
      </c>
      <c r="D395" s="15" t="s">
        <v>1</v>
      </c>
      <c r="E395" s="15" t="s">
        <v>92</v>
      </c>
      <c r="F395" s="15" t="s">
        <v>96</v>
      </c>
      <c r="G395" s="15"/>
      <c r="H395" s="17" t="str" cm="1">
        <f t="array" ref="H395">Reverse2_6(O395)</f>
        <v>00-010101</v>
      </c>
      <c r="I395" s="18" cm="1">
        <f t="array" ref="I395">HEX2DEC(Reverse(P395))</f>
        <v>93631153</v>
      </c>
      <c r="J395" s="18" cm="1">
        <f t="array" ref="J395">IF(Q395&lt;&gt;0, HEX2DEC(Reverse(Q395))-$I395,"")</f>
        <v>172</v>
      </c>
      <c r="K395" s="18" cm="1">
        <f t="array" ref="K395">IF(R395&lt;&gt;0, HEX2DEC(Reverse(R395))-$I395,"")</f>
        <v>21</v>
      </c>
      <c r="L395" s="18" cm="1">
        <f t="array" ref="L395">IF(S395&lt;&gt;0, HEX2DEC(Reverse(S395))-$I395,"")</f>
        <v>173</v>
      </c>
      <c r="M395" s="18" cm="1">
        <f t="array" ref="M395">IF(T395&lt;&gt;0, HEX2DEC(Reverse(T395))-$I395,"")</f>
        <v>22</v>
      </c>
      <c r="O395" s="3">
        <v>1010100</v>
      </c>
      <c r="P395" s="3" t="s">
        <v>114</v>
      </c>
      <c r="Q395" s="3" t="s">
        <v>1310</v>
      </c>
      <c r="R395" s="13" t="s">
        <v>153</v>
      </c>
      <c r="S395" s="3" t="s">
        <v>1311</v>
      </c>
      <c r="T395" s="3" t="s">
        <v>154</v>
      </c>
      <c r="U395" s="3" t="s">
        <v>143</v>
      </c>
      <c r="V395" s="4" t="s">
        <v>144</v>
      </c>
    </row>
    <row r="396" spans="1:22" x14ac:dyDescent="0.2">
      <c r="A396" s="16" t="s">
        <v>484</v>
      </c>
      <c r="B396" s="16">
        <v>3331</v>
      </c>
      <c r="C396" s="15" t="s">
        <v>2</v>
      </c>
      <c r="D396" s="15" t="s">
        <v>1</v>
      </c>
      <c r="E396" s="15" t="s">
        <v>92</v>
      </c>
      <c r="F396" s="15" t="s">
        <v>96</v>
      </c>
      <c r="G396" s="15"/>
      <c r="H396" s="17" t="str" cm="1">
        <f t="array" ref="H396">Reverse2_6(O396)</f>
        <v>00-010101</v>
      </c>
      <c r="I396" s="18" cm="1">
        <f t="array" ref="I396">HEX2DEC(Reverse(P396))</f>
        <v>93631153</v>
      </c>
      <c r="J396" s="18" cm="1">
        <f t="array" ref="J396">IF(Q396&lt;&gt;0, HEX2DEC(Reverse(Q396))-$I396,"")</f>
        <v>173</v>
      </c>
      <c r="K396" s="18" cm="1">
        <f t="array" ref="K396">IF(R396&lt;&gt;0, HEX2DEC(Reverse(R396))-$I396,"")</f>
        <v>21</v>
      </c>
      <c r="L396" s="18" cm="1">
        <f t="array" ref="L396">IF(S396&lt;&gt;0, HEX2DEC(Reverse(S396))-$I396,"")</f>
        <v>174</v>
      </c>
      <c r="M396" s="18" cm="1">
        <f t="array" ref="M396">IF(T396&lt;&gt;0, HEX2DEC(Reverse(T396))-$I396,"")</f>
        <v>22</v>
      </c>
      <c r="O396" s="3">
        <v>1010100</v>
      </c>
      <c r="P396" s="3" t="s">
        <v>114</v>
      </c>
      <c r="Q396" s="3" t="s">
        <v>1311</v>
      </c>
      <c r="R396" s="13" t="s">
        <v>153</v>
      </c>
      <c r="S396" s="3" t="s">
        <v>1312</v>
      </c>
      <c r="T396" s="3" t="s">
        <v>154</v>
      </c>
      <c r="U396" s="3" t="s">
        <v>1313</v>
      </c>
      <c r="V396" s="4" t="s">
        <v>1314</v>
      </c>
    </row>
    <row r="397" spans="1:22" x14ac:dyDescent="0.2">
      <c r="A397" s="16" t="s">
        <v>485</v>
      </c>
      <c r="B397" s="16">
        <v>3332</v>
      </c>
      <c r="C397" s="15" t="s">
        <v>2</v>
      </c>
      <c r="D397" s="15" t="s">
        <v>1</v>
      </c>
      <c r="E397" s="15" t="s">
        <v>92</v>
      </c>
      <c r="F397" s="15" t="s">
        <v>867</v>
      </c>
      <c r="G397" s="15"/>
      <c r="H397" s="17" t="str" cm="1">
        <f t="array" ref="H397">Reverse2_6(O397)</f>
        <v>00-010101</v>
      </c>
      <c r="I397" s="18" cm="1">
        <f t="array" ref="I397">HEX2DEC(Reverse(P397))</f>
        <v>93631153</v>
      </c>
      <c r="J397" s="18" cm="1">
        <f t="array" ref="J397">IF(Q397&lt;&gt;0, HEX2DEC(Reverse(Q397))-$I397,"")</f>
        <v>174</v>
      </c>
      <c r="K397" s="18" cm="1">
        <f t="array" ref="K397">IF(R397&lt;&gt;0, HEX2DEC(Reverse(R397))-$I397,"")</f>
        <v>21</v>
      </c>
      <c r="L397" s="18" cm="1">
        <f t="array" ref="L397">IF(S397&lt;&gt;0, HEX2DEC(Reverse(S397))-$I397,"")</f>
        <v>175</v>
      </c>
      <c r="M397" s="18" cm="1">
        <f t="array" ref="M397">IF(T397&lt;&gt;0, HEX2DEC(Reverse(T397))-$I397,"")</f>
        <v>22</v>
      </c>
      <c r="O397" s="3">
        <v>1010100</v>
      </c>
      <c r="P397" s="3" t="s">
        <v>114</v>
      </c>
      <c r="Q397" s="3" t="s">
        <v>1312</v>
      </c>
      <c r="R397" s="13" t="s">
        <v>153</v>
      </c>
      <c r="S397" s="3" t="s">
        <v>1315</v>
      </c>
      <c r="T397" s="3" t="s">
        <v>154</v>
      </c>
      <c r="U397" s="3" t="s">
        <v>1316</v>
      </c>
      <c r="V397" s="4" t="s">
        <v>1317</v>
      </c>
    </row>
    <row r="398" spans="1:22" x14ac:dyDescent="0.2">
      <c r="A398" s="20" t="s">
        <v>486</v>
      </c>
      <c r="B398" s="20">
        <v>3333</v>
      </c>
      <c r="C398" s="21" t="s">
        <v>1</v>
      </c>
      <c r="D398" s="21" t="s">
        <v>2</v>
      </c>
      <c r="E398" s="21" t="s">
        <v>90</v>
      </c>
      <c r="F398" s="21" t="s">
        <v>94</v>
      </c>
      <c r="G398" s="21" t="s">
        <v>1778</v>
      </c>
      <c r="H398" s="22" t="str" cm="1">
        <f t="array" ref="H398">Reverse2_6(O398)</f>
        <v>00-010201</v>
      </c>
      <c r="I398" s="45" cm="1">
        <f t="array" ref="I398">HEX2DEC(Reverse(P398))</f>
        <v>93631153</v>
      </c>
      <c r="J398" s="45" cm="1">
        <f t="array" ref="J398">IF(Q398&lt;&gt;0, HEX2DEC(Reverse(Q398))-$I398,"")</f>
        <v>21</v>
      </c>
      <c r="K398" s="45" cm="1">
        <f t="array" ref="K398">IF(R398&lt;&gt;0, HEX2DEC(Reverse(R398))-$I398,"")</f>
        <v>171</v>
      </c>
      <c r="L398" s="45" t="str" cm="1">
        <f t="array" ref="L398">IF(S398&lt;&gt;0, HEX2DEC(Reverse(S398))-$I398,"")</f>
        <v/>
      </c>
      <c r="M398" s="45" cm="1">
        <f t="array" ref="M398">IF(T398&lt;&gt;0, HEX2DEC(Reverse(T398))-$I398,"")</f>
        <v>172</v>
      </c>
      <c r="O398" s="3">
        <v>1020100</v>
      </c>
      <c r="P398" s="3" t="s">
        <v>114</v>
      </c>
      <c r="Q398" s="3" t="s">
        <v>153</v>
      </c>
      <c r="R398" s="3" t="s">
        <v>1307</v>
      </c>
      <c r="S398" s="3">
        <v>0</v>
      </c>
      <c r="T398" s="3" t="s">
        <v>1310</v>
      </c>
      <c r="U398" s="3"/>
      <c r="V398" s="4"/>
    </row>
    <row r="399" spans="1:22" x14ac:dyDescent="0.2">
      <c r="A399" s="20" t="s">
        <v>487</v>
      </c>
      <c r="B399" s="20">
        <v>3334</v>
      </c>
      <c r="C399" s="21" t="s">
        <v>1</v>
      </c>
      <c r="D399" s="21" t="s">
        <v>2</v>
      </c>
      <c r="E399" s="21" t="s">
        <v>90</v>
      </c>
      <c r="F399" s="21" t="s">
        <v>94</v>
      </c>
      <c r="G399" s="21" t="s">
        <v>1778</v>
      </c>
      <c r="H399" s="22" t="str" cm="1">
        <f t="array" ref="H399">Reverse2_6(O399)</f>
        <v>00-010201</v>
      </c>
      <c r="I399" s="45" cm="1">
        <f t="array" ref="I399">HEX2DEC(Reverse(P399))</f>
        <v>93631153</v>
      </c>
      <c r="J399" s="45" cm="1">
        <f t="array" ref="J399">IF(Q399&lt;&gt;0, HEX2DEC(Reverse(Q399))-$I399,"")</f>
        <v>21</v>
      </c>
      <c r="K399" s="45" cm="1">
        <f t="array" ref="K399">IF(R399&lt;&gt;0, HEX2DEC(Reverse(R399))-$I399,"")</f>
        <v>172</v>
      </c>
      <c r="L399" s="45" t="str" cm="1">
        <f t="array" ref="L399">IF(S399&lt;&gt;0, HEX2DEC(Reverse(S399))-$I399,"")</f>
        <v/>
      </c>
      <c r="M399" s="45" cm="1">
        <f t="array" ref="M399">IF(T399&lt;&gt;0, HEX2DEC(Reverse(T399))-$I399,"")</f>
        <v>173</v>
      </c>
      <c r="O399" s="3">
        <v>1020100</v>
      </c>
      <c r="P399" s="3" t="s">
        <v>114</v>
      </c>
      <c r="Q399" s="3" t="s">
        <v>153</v>
      </c>
      <c r="R399" s="3" t="s">
        <v>1310</v>
      </c>
      <c r="S399" s="3">
        <v>0</v>
      </c>
      <c r="T399" s="3" t="s">
        <v>1311</v>
      </c>
      <c r="U399" s="3"/>
      <c r="V399" s="4"/>
    </row>
    <row r="400" spans="1:22" x14ac:dyDescent="0.2">
      <c r="A400" s="20" t="s">
        <v>488</v>
      </c>
      <c r="B400" s="20">
        <v>3335</v>
      </c>
      <c r="C400" s="21" t="s">
        <v>1</v>
      </c>
      <c r="D400" s="21" t="s">
        <v>2</v>
      </c>
      <c r="E400" s="21" t="s">
        <v>90</v>
      </c>
      <c r="F400" s="21" t="s">
        <v>94</v>
      </c>
      <c r="G400" s="21" t="s">
        <v>1778</v>
      </c>
      <c r="H400" s="22" t="str" cm="1">
        <f t="array" ref="H400">Reverse2_6(O400)</f>
        <v>00-010201</v>
      </c>
      <c r="I400" s="45" cm="1">
        <f t="array" ref="I400">HEX2DEC(Reverse(P400))</f>
        <v>93631153</v>
      </c>
      <c r="J400" s="45" cm="1">
        <f t="array" ref="J400">IF(Q400&lt;&gt;0, HEX2DEC(Reverse(Q400))-$I400,"")</f>
        <v>21</v>
      </c>
      <c r="K400" s="45" cm="1">
        <f t="array" ref="K400">IF(R400&lt;&gt;0, HEX2DEC(Reverse(R400))-$I400,"")</f>
        <v>173</v>
      </c>
      <c r="L400" s="45" t="str" cm="1">
        <f t="array" ref="L400">IF(S400&lt;&gt;0, HEX2DEC(Reverse(S400))-$I400,"")</f>
        <v/>
      </c>
      <c r="M400" s="45" cm="1">
        <f t="array" ref="M400">IF(T400&lt;&gt;0, HEX2DEC(Reverse(T400))-$I400,"")</f>
        <v>174</v>
      </c>
      <c r="O400" s="3">
        <v>1020100</v>
      </c>
      <c r="P400" s="3" t="s">
        <v>114</v>
      </c>
      <c r="Q400" s="3" t="s">
        <v>153</v>
      </c>
      <c r="R400" s="3" t="s">
        <v>1311</v>
      </c>
      <c r="S400" s="3">
        <v>0</v>
      </c>
      <c r="T400" s="3" t="s">
        <v>1312</v>
      </c>
      <c r="U400" s="3"/>
      <c r="V400" s="4"/>
    </row>
    <row r="401" spans="1:22" x14ac:dyDescent="0.2">
      <c r="A401" s="20" t="s">
        <v>489</v>
      </c>
      <c r="B401" s="20">
        <v>3336</v>
      </c>
      <c r="C401" s="21" t="s">
        <v>1</v>
      </c>
      <c r="D401" s="21" t="s">
        <v>2</v>
      </c>
      <c r="E401" s="21" t="s">
        <v>90</v>
      </c>
      <c r="F401" s="21" t="s">
        <v>94</v>
      </c>
      <c r="G401" s="21" t="s">
        <v>1778</v>
      </c>
      <c r="H401" s="22" t="str" cm="1">
        <f t="array" ref="H401">Reverse2_6(O401)</f>
        <v>00-010201</v>
      </c>
      <c r="I401" s="45" cm="1">
        <f t="array" ref="I401">HEX2DEC(Reverse(P401))</f>
        <v>93631153</v>
      </c>
      <c r="J401" s="45" cm="1">
        <f t="array" ref="J401">IF(Q401&lt;&gt;0, HEX2DEC(Reverse(Q401))-$I401,"")</f>
        <v>21</v>
      </c>
      <c r="K401" s="45" cm="1">
        <f t="array" ref="K401">IF(R401&lt;&gt;0, HEX2DEC(Reverse(R401))-$I401,"")</f>
        <v>174</v>
      </c>
      <c r="L401" s="45" t="str" cm="1">
        <f t="array" ref="L401">IF(S401&lt;&gt;0, HEX2DEC(Reverse(S401))-$I401,"")</f>
        <v/>
      </c>
      <c r="M401" s="45" cm="1">
        <f t="array" ref="M401">IF(T401&lt;&gt;0, HEX2DEC(Reverse(T401))-$I401,"")</f>
        <v>175</v>
      </c>
      <c r="O401" s="3">
        <v>1020100</v>
      </c>
      <c r="P401" s="3" t="s">
        <v>114</v>
      </c>
      <c r="Q401" s="3" t="s">
        <v>153</v>
      </c>
      <c r="R401" s="3" t="s">
        <v>1312</v>
      </c>
      <c r="S401" s="3">
        <v>0</v>
      </c>
      <c r="T401" s="3" t="s">
        <v>1315</v>
      </c>
      <c r="U401" s="3"/>
      <c r="V401" s="4"/>
    </row>
    <row r="402" spans="1:22" x14ac:dyDescent="0.2">
      <c r="A402" s="16" t="s">
        <v>490</v>
      </c>
      <c r="B402" s="16">
        <v>3342</v>
      </c>
      <c r="C402" s="15" t="s">
        <v>2</v>
      </c>
      <c r="D402" s="15" t="s">
        <v>1</v>
      </c>
      <c r="E402" s="15" t="s">
        <v>92</v>
      </c>
      <c r="F402" s="15" t="s">
        <v>96</v>
      </c>
      <c r="G402" s="15"/>
      <c r="H402" s="17" t="str" cm="1">
        <f t="array" ref="H402">Reverse2_6(O402)</f>
        <v>00-010101</v>
      </c>
      <c r="I402" s="18" cm="1">
        <f t="array" ref="I402">HEX2DEC(Reverse(P402))</f>
        <v>93631153</v>
      </c>
      <c r="J402" s="18" cm="1">
        <f t="array" ref="J402">IF(Q402&lt;&gt;0, HEX2DEC(Reverse(Q402))-$I402,"")</f>
        <v>175</v>
      </c>
      <c r="K402" s="18" cm="1">
        <f t="array" ref="K402">IF(R402&lt;&gt;0, HEX2DEC(Reverse(R402))-$I402,"")</f>
        <v>21</v>
      </c>
      <c r="L402" s="18" cm="1">
        <f t="array" ref="L402">IF(S402&lt;&gt;0, HEX2DEC(Reverse(S402))-$I402,"")</f>
        <v>176</v>
      </c>
      <c r="M402" s="18" cm="1">
        <f t="array" ref="M402">IF(T402&lt;&gt;0, HEX2DEC(Reverse(T402))-$I402,"")</f>
        <v>22</v>
      </c>
      <c r="O402" s="3">
        <v>1010100</v>
      </c>
      <c r="P402" s="3" t="s">
        <v>114</v>
      </c>
      <c r="Q402" s="3" t="s">
        <v>1315</v>
      </c>
      <c r="R402" s="13" t="s">
        <v>153</v>
      </c>
      <c r="S402" s="3" t="s">
        <v>1318</v>
      </c>
      <c r="T402" s="3" t="s">
        <v>154</v>
      </c>
      <c r="U402" s="3">
        <v>31313131</v>
      </c>
      <c r="V402" s="4" t="s">
        <v>1319</v>
      </c>
    </row>
    <row r="403" spans="1:22" x14ac:dyDescent="0.2">
      <c r="A403" s="16" t="s">
        <v>491</v>
      </c>
      <c r="B403" s="16">
        <v>3343</v>
      </c>
      <c r="C403" s="15" t="s">
        <v>2</v>
      </c>
      <c r="D403" s="15" t="s">
        <v>1</v>
      </c>
      <c r="E403" s="15" t="s">
        <v>92</v>
      </c>
      <c r="F403" s="15" t="s">
        <v>868</v>
      </c>
      <c r="G403" s="15"/>
      <c r="H403" s="17" t="str" cm="1">
        <f t="array" ref="H403">Reverse2_6(O403)</f>
        <v>00-010101</v>
      </c>
      <c r="I403" s="18" cm="1">
        <f t="array" ref="I403">HEX2DEC(Reverse(P403))</f>
        <v>93631153</v>
      </c>
      <c r="J403" s="18" cm="1">
        <f t="array" ref="J403">IF(Q403&lt;&gt;0, HEX2DEC(Reverse(Q403))-$I403,"")</f>
        <v>176</v>
      </c>
      <c r="K403" s="18" cm="1">
        <f t="array" ref="K403">IF(R403&lt;&gt;0, HEX2DEC(Reverse(R403))-$I403,"")</f>
        <v>21</v>
      </c>
      <c r="L403" s="18" cm="1">
        <f t="array" ref="L403">IF(S403&lt;&gt;0, HEX2DEC(Reverse(S403))-$I403,"")</f>
        <v>177</v>
      </c>
      <c r="M403" s="18" cm="1">
        <f t="array" ref="M403">IF(T403&lt;&gt;0, HEX2DEC(Reverse(T403))-$I403,"")</f>
        <v>22</v>
      </c>
      <c r="O403" s="3">
        <v>1010100</v>
      </c>
      <c r="P403" s="3" t="s">
        <v>114</v>
      </c>
      <c r="Q403" s="3" t="s">
        <v>1318</v>
      </c>
      <c r="R403" s="13" t="s">
        <v>153</v>
      </c>
      <c r="S403" s="3" t="s">
        <v>1320</v>
      </c>
      <c r="T403" s="3" t="s">
        <v>154</v>
      </c>
      <c r="U403" s="3" t="s">
        <v>1321</v>
      </c>
      <c r="V403" s="4" t="s">
        <v>1322</v>
      </c>
    </row>
    <row r="404" spans="1:22" x14ac:dyDescent="0.2">
      <c r="A404" s="20" t="s">
        <v>492</v>
      </c>
      <c r="B404" s="20">
        <v>3345</v>
      </c>
      <c r="C404" s="21" t="s">
        <v>1</v>
      </c>
      <c r="D404" s="21" t="s">
        <v>2</v>
      </c>
      <c r="E404" s="21" t="s">
        <v>90</v>
      </c>
      <c r="F404" s="21" t="s">
        <v>94</v>
      </c>
      <c r="G404" s="21" t="s">
        <v>1778</v>
      </c>
      <c r="H404" s="22" t="str" cm="1">
        <f t="array" ref="H404">Reverse2_6(O404)</f>
        <v>00-010201</v>
      </c>
      <c r="I404" s="45" cm="1">
        <f t="array" ref="I404">HEX2DEC(Reverse(P404))</f>
        <v>93631153</v>
      </c>
      <c r="J404" s="45" cm="1">
        <f t="array" ref="J404">IF(Q404&lt;&gt;0, HEX2DEC(Reverse(Q404))-$I404,"")</f>
        <v>21</v>
      </c>
      <c r="K404" s="45" cm="1">
        <f t="array" ref="K404">IF(R404&lt;&gt;0, HEX2DEC(Reverse(R404))-$I404,"")</f>
        <v>175</v>
      </c>
      <c r="L404" s="45" t="str" cm="1">
        <f t="array" ref="L404">IF(S404&lt;&gt;0, HEX2DEC(Reverse(S404))-$I404,"")</f>
        <v/>
      </c>
      <c r="M404" s="45" cm="1">
        <f t="array" ref="M404">IF(T404&lt;&gt;0, HEX2DEC(Reverse(T404))-$I404,"")</f>
        <v>176</v>
      </c>
      <c r="O404" s="3">
        <v>1020100</v>
      </c>
      <c r="P404" s="3" t="s">
        <v>114</v>
      </c>
      <c r="Q404" s="3" t="s">
        <v>153</v>
      </c>
      <c r="R404" s="3" t="s">
        <v>1315</v>
      </c>
      <c r="S404" s="3">
        <v>0</v>
      </c>
      <c r="T404" s="3" t="s">
        <v>1318</v>
      </c>
      <c r="U404" s="3"/>
      <c r="V404" s="4"/>
    </row>
    <row r="405" spans="1:22" x14ac:dyDescent="0.2">
      <c r="A405" s="20" t="s">
        <v>493</v>
      </c>
      <c r="B405" s="20">
        <v>3346</v>
      </c>
      <c r="C405" s="21" t="s">
        <v>1</v>
      </c>
      <c r="D405" s="21" t="s">
        <v>2</v>
      </c>
      <c r="E405" s="21" t="s">
        <v>90</v>
      </c>
      <c r="F405" s="21" t="s">
        <v>94</v>
      </c>
      <c r="G405" s="21" t="s">
        <v>1778</v>
      </c>
      <c r="H405" s="22" t="str" cm="1">
        <f t="array" ref="H405">Reverse2_6(O405)</f>
        <v>00-010201</v>
      </c>
      <c r="I405" s="45" cm="1">
        <f t="array" ref="I405">HEX2DEC(Reverse(P405))</f>
        <v>93631153</v>
      </c>
      <c r="J405" s="45" cm="1">
        <f t="array" ref="J405">IF(Q405&lt;&gt;0, HEX2DEC(Reverse(Q405))-$I405,"")</f>
        <v>21</v>
      </c>
      <c r="K405" s="45" cm="1">
        <f t="array" ref="K405">IF(R405&lt;&gt;0, HEX2DEC(Reverse(R405))-$I405,"")</f>
        <v>176</v>
      </c>
      <c r="L405" s="45" t="str" cm="1">
        <f t="array" ref="L405">IF(S405&lt;&gt;0, HEX2DEC(Reverse(S405))-$I405,"")</f>
        <v/>
      </c>
      <c r="M405" s="45" cm="1">
        <f t="array" ref="M405">IF(T405&lt;&gt;0, HEX2DEC(Reverse(T405))-$I405,"")</f>
        <v>177</v>
      </c>
      <c r="O405" s="3">
        <v>1020100</v>
      </c>
      <c r="P405" s="3" t="s">
        <v>114</v>
      </c>
      <c r="Q405" s="3" t="s">
        <v>153</v>
      </c>
      <c r="R405" s="3" t="s">
        <v>1318</v>
      </c>
      <c r="S405" s="3">
        <v>0</v>
      </c>
      <c r="T405" s="3" t="s">
        <v>1320</v>
      </c>
      <c r="U405" s="3"/>
      <c r="V405" s="4"/>
    </row>
    <row r="406" spans="1:22" x14ac:dyDescent="0.2">
      <c r="A406" s="46" t="s">
        <v>494</v>
      </c>
      <c r="B406" s="46">
        <v>3351</v>
      </c>
      <c r="C406" s="36" t="s">
        <v>1</v>
      </c>
      <c r="D406" s="36" t="s">
        <v>2</v>
      </c>
      <c r="E406" s="36" t="s">
        <v>90</v>
      </c>
      <c r="F406" s="36" t="s">
        <v>110</v>
      </c>
      <c r="G406" s="36" t="s">
        <v>1753</v>
      </c>
      <c r="H406" s="35" t="str" cm="1">
        <f t="array" ref="H406">Reverse2_6(O406)</f>
        <v>00-010101</v>
      </c>
      <c r="I406" s="44" cm="1">
        <f t="array" ref="I406">HEX2DEC(Reverse(P406))</f>
        <v>93631153</v>
      </c>
      <c r="J406" s="44" cm="1">
        <f t="array" ref="J406">IF(Q406&lt;&gt;0, HEX2DEC(Reverse(Q406))-$I406,"")</f>
        <v>22</v>
      </c>
      <c r="K406" s="44" cm="1">
        <f t="array" ref="K406">IF(R406&lt;&gt;0, HEX2DEC(Reverse(R406))-$I406,"")</f>
        <v>176</v>
      </c>
      <c r="L406" s="44" cm="1">
        <f t="array" ref="L406">IF(S406&lt;&gt;0, HEX2DEC(Reverse(S406))-$I406,"")</f>
        <v>23</v>
      </c>
      <c r="M406" s="44" cm="1">
        <f t="array" ref="M406">IF(T406&lt;&gt;0, HEX2DEC(Reverse(T406))-$I406,"")</f>
        <v>177</v>
      </c>
      <c r="O406" s="3">
        <v>1010100</v>
      </c>
      <c r="P406" s="3" t="s">
        <v>114</v>
      </c>
      <c r="Q406" s="3" t="s">
        <v>154</v>
      </c>
      <c r="R406" s="3" t="s">
        <v>1318</v>
      </c>
      <c r="S406" s="31" t="s">
        <v>903</v>
      </c>
      <c r="T406" s="3" t="s">
        <v>1320</v>
      </c>
      <c r="U406" s="3">
        <v>31313131</v>
      </c>
      <c r="V406" s="4" t="s">
        <v>145</v>
      </c>
    </row>
    <row r="407" spans="1:22" x14ac:dyDescent="0.2">
      <c r="A407" s="46" t="s">
        <v>495</v>
      </c>
      <c r="B407" s="46">
        <v>3352</v>
      </c>
      <c r="C407" s="36" t="s">
        <v>1</v>
      </c>
      <c r="D407" s="36" t="s">
        <v>2</v>
      </c>
      <c r="E407" s="36" t="s">
        <v>90</v>
      </c>
      <c r="F407" s="36" t="s">
        <v>106</v>
      </c>
      <c r="G407" s="36"/>
      <c r="H407" s="35" t="str" cm="1">
        <f t="array" ref="H407">Reverse2_6(O407)</f>
        <v>00-010101</v>
      </c>
      <c r="I407" s="44" cm="1">
        <f t="array" ref="I407">HEX2DEC(Reverse(P407))</f>
        <v>93631153</v>
      </c>
      <c r="J407" s="44" cm="1">
        <f t="array" ref="J407">IF(Q407&lt;&gt;0, HEX2DEC(Reverse(Q407))-$I407,"")</f>
        <v>23</v>
      </c>
      <c r="K407" s="44" cm="1">
        <f t="array" ref="K407">IF(R407&lt;&gt;0, HEX2DEC(Reverse(R407))-$I407,"")</f>
        <v>176</v>
      </c>
      <c r="L407" s="44" cm="1">
        <f t="array" ref="L407">IF(S407&lt;&gt;0, HEX2DEC(Reverse(S407))-$I407,"")</f>
        <v>24</v>
      </c>
      <c r="M407" s="44" cm="1">
        <f t="array" ref="M407">IF(T407&lt;&gt;0, HEX2DEC(Reverse(T407))-$I407,"")</f>
        <v>177</v>
      </c>
      <c r="O407" s="3">
        <v>1010100</v>
      </c>
      <c r="P407" s="3" t="s">
        <v>114</v>
      </c>
      <c r="Q407" s="3" t="s">
        <v>903</v>
      </c>
      <c r="R407" s="3" t="s">
        <v>1318</v>
      </c>
      <c r="S407" s="3" t="s">
        <v>905</v>
      </c>
      <c r="T407" s="3" t="s">
        <v>1320</v>
      </c>
      <c r="U407" s="3">
        <v>31313131</v>
      </c>
      <c r="V407" s="4" t="s">
        <v>135</v>
      </c>
    </row>
    <row r="408" spans="1:22" x14ac:dyDescent="0.2">
      <c r="A408" s="16" t="s">
        <v>496</v>
      </c>
      <c r="B408" s="16">
        <v>3353</v>
      </c>
      <c r="C408" s="15" t="s">
        <v>2</v>
      </c>
      <c r="D408" s="15" t="s">
        <v>1</v>
      </c>
      <c r="E408" s="15" t="s">
        <v>92</v>
      </c>
      <c r="F408" s="15" t="s">
        <v>869</v>
      </c>
      <c r="G408" s="15"/>
      <c r="H408" s="17" t="str" cm="1">
        <f t="array" ref="H408">Reverse2_6(O408)</f>
        <v>00-010101</v>
      </c>
      <c r="I408" s="18" cm="1">
        <f t="array" ref="I408">HEX2DEC(Reverse(P408))</f>
        <v>93631153</v>
      </c>
      <c r="J408" s="18" cm="1">
        <f t="array" ref="J408">IF(Q408&lt;&gt;0, HEX2DEC(Reverse(Q408))-$I408,"")</f>
        <v>177</v>
      </c>
      <c r="K408" s="18" cm="1">
        <f t="array" ref="K408">IF(R408&lt;&gt;0, HEX2DEC(Reverse(R408))-$I408,"")</f>
        <v>21</v>
      </c>
      <c r="L408" s="18" cm="1">
        <f t="array" ref="L408">IF(S408&lt;&gt;0, HEX2DEC(Reverse(S408))-$I408,"")</f>
        <v>178</v>
      </c>
      <c r="M408" s="18" cm="1">
        <f t="array" ref="M408">IF(T408&lt;&gt;0, HEX2DEC(Reverse(T408))-$I408,"")</f>
        <v>22</v>
      </c>
      <c r="O408" s="3">
        <v>1010100</v>
      </c>
      <c r="P408" s="3" t="s">
        <v>114</v>
      </c>
      <c r="Q408" s="3" t="s">
        <v>1320</v>
      </c>
      <c r="R408" s="13" t="s">
        <v>153</v>
      </c>
      <c r="S408" s="3" t="s">
        <v>1323</v>
      </c>
      <c r="T408" s="3" t="s">
        <v>154</v>
      </c>
      <c r="U408" s="3">
        <v>31313131</v>
      </c>
      <c r="V408" s="4" t="s">
        <v>1259</v>
      </c>
    </row>
    <row r="409" spans="1:22" x14ac:dyDescent="0.2">
      <c r="A409" s="20" t="s">
        <v>497</v>
      </c>
      <c r="B409" s="20">
        <v>3354</v>
      </c>
      <c r="C409" s="21" t="s">
        <v>1</v>
      </c>
      <c r="D409" s="21" t="s">
        <v>2</v>
      </c>
      <c r="E409" s="21" t="s">
        <v>90</v>
      </c>
      <c r="F409" s="21" t="s">
        <v>94</v>
      </c>
      <c r="G409" s="21" t="s">
        <v>1778</v>
      </c>
      <c r="H409" s="22" t="str" cm="1">
        <f t="array" ref="H409">Reverse2_6(O409)</f>
        <v>00-010201</v>
      </c>
      <c r="I409" s="45" cm="1">
        <f t="array" ref="I409">HEX2DEC(Reverse(P409))</f>
        <v>93631153</v>
      </c>
      <c r="J409" s="45" cm="1">
        <f t="array" ref="J409">IF(Q409&lt;&gt;0, HEX2DEC(Reverse(Q409))-$I409,"")</f>
        <v>23</v>
      </c>
      <c r="K409" s="45" cm="1">
        <f t="array" ref="K409">IF(R409&lt;&gt;0, HEX2DEC(Reverse(R409))-$I409,"")</f>
        <v>177</v>
      </c>
      <c r="L409" s="45" t="str" cm="1">
        <f t="array" ref="L409">IF(S409&lt;&gt;0, HEX2DEC(Reverse(S409))-$I409,"")</f>
        <v/>
      </c>
      <c r="M409" s="45" cm="1">
        <f t="array" ref="M409">IF(T409&lt;&gt;0, HEX2DEC(Reverse(T409))-$I409,"")</f>
        <v>178</v>
      </c>
      <c r="O409" s="3">
        <v>1020100</v>
      </c>
      <c r="P409" s="3" t="s">
        <v>114</v>
      </c>
      <c r="Q409" s="3" t="s">
        <v>903</v>
      </c>
      <c r="R409" s="3" t="s">
        <v>1320</v>
      </c>
      <c r="S409" s="3">
        <v>0</v>
      </c>
      <c r="T409" s="3" t="s">
        <v>1323</v>
      </c>
      <c r="U409" s="3"/>
      <c r="V409" s="4"/>
    </row>
    <row r="410" spans="1:22" x14ac:dyDescent="0.2">
      <c r="A410" s="16" t="s">
        <v>498</v>
      </c>
      <c r="B410" s="16">
        <v>3361</v>
      </c>
      <c r="C410" s="15" t="s">
        <v>2</v>
      </c>
      <c r="D410" s="15" t="s">
        <v>1</v>
      </c>
      <c r="E410" s="15" t="s">
        <v>92</v>
      </c>
      <c r="F410" s="15" t="s">
        <v>96</v>
      </c>
      <c r="G410" s="15"/>
      <c r="H410" s="17" t="str" cm="1">
        <f t="array" ref="H410">Reverse2_6(O410)</f>
        <v>00-010101</v>
      </c>
      <c r="I410" s="18" cm="1">
        <f t="array" ref="I410">HEX2DEC(Reverse(P410))</f>
        <v>93631153</v>
      </c>
      <c r="J410" s="18" cm="1">
        <f t="array" ref="J410">IF(Q410&lt;&gt;0, HEX2DEC(Reverse(Q410))-$I410,"")</f>
        <v>178</v>
      </c>
      <c r="K410" s="18" cm="1">
        <f t="array" ref="K410">IF(R410&lt;&gt;0, HEX2DEC(Reverse(R410))-$I410,"")</f>
        <v>21</v>
      </c>
      <c r="L410" s="18" cm="1">
        <f t="array" ref="L410">IF(S410&lt;&gt;0, HEX2DEC(Reverse(S410))-$I410,"")</f>
        <v>179</v>
      </c>
      <c r="M410" s="18" cm="1">
        <f t="array" ref="M410">IF(T410&lt;&gt;0, HEX2DEC(Reverse(T410))-$I410,"")</f>
        <v>22</v>
      </c>
      <c r="O410" s="3">
        <v>1010100</v>
      </c>
      <c r="P410" s="3" t="s">
        <v>114</v>
      </c>
      <c r="Q410" s="3" t="s">
        <v>1323</v>
      </c>
      <c r="R410" s="13" t="s">
        <v>153</v>
      </c>
      <c r="S410" s="3" t="s">
        <v>1324</v>
      </c>
      <c r="T410" s="3" t="s">
        <v>154</v>
      </c>
      <c r="U410" s="3">
        <v>31313131</v>
      </c>
      <c r="V410" s="4" t="s">
        <v>1325</v>
      </c>
    </row>
    <row r="411" spans="1:22" x14ac:dyDescent="0.2">
      <c r="A411" s="16" t="s">
        <v>499</v>
      </c>
      <c r="B411" s="16">
        <v>3362</v>
      </c>
      <c r="C411" s="15" t="s">
        <v>2</v>
      </c>
      <c r="D411" s="15" t="s">
        <v>1</v>
      </c>
      <c r="E411" s="15" t="s">
        <v>92</v>
      </c>
      <c r="F411" s="15" t="s">
        <v>96</v>
      </c>
      <c r="G411" s="15"/>
      <c r="H411" s="17" t="str" cm="1">
        <f t="array" ref="H411">Reverse2_6(O411)</f>
        <v>00-010101</v>
      </c>
      <c r="I411" s="18" cm="1">
        <f t="array" ref="I411">HEX2DEC(Reverse(P411))</f>
        <v>93631153</v>
      </c>
      <c r="J411" s="18" cm="1">
        <f t="array" ref="J411">IF(Q411&lt;&gt;0, HEX2DEC(Reverse(Q411))-$I411,"")</f>
        <v>179</v>
      </c>
      <c r="K411" s="18" cm="1">
        <f t="array" ref="K411">IF(R411&lt;&gt;0, HEX2DEC(Reverse(R411))-$I411,"")</f>
        <v>21</v>
      </c>
      <c r="L411" s="18" cm="1">
        <f t="array" ref="L411">IF(S411&lt;&gt;0, HEX2DEC(Reverse(S411))-$I411,"")</f>
        <v>180</v>
      </c>
      <c r="M411" s="18" cm="1">
        <f t="array" ref="M411">IF(T411&lt;&gt;0, HEX2DEC(Reverse(T411))-$I411,"")</f>
        <v>22</v>
      </c>
      <c r="O411" s="3">
        <v>1010100</v>
      </c>
      <c r="P411" s="3" t="s">
        <v>114</v>
      </c>
      <c r="Q411" s="3" t="s">
        <v>1324</v>
      </c>
      <c r="R411" s="13" t="s">
        <v>153</v>
      </c>
      <c r="S411" s="3" t="s">
        <v>1326</v>
      </c>
      <c r="T411" s="3" t="s">
        <v>154</v>
      </c>
      <c r="U411" s="3" t="s">
        <v>1327</v>
      </c>
      <c r="V411" s="4" t="s">
        <v>1328</v>
      </c>
    </row>
    <row r="412" spans="1:22" x14ac:dyDescent="0.2">
      <c r="A412" s="16" t="s">
        <v>500</v>
      </c>
      <c r="B412" s="16">
        <v>3363</v>
      </c>
      <c r="C412" s="15" t="s">
        <v>2</v>
      </c>
      <c r="D412" s="15" t="s">
        <v>1</v>
      </c>
      <c r="E412" s="15" t="s">
        <v>92</v>
      </c>
      <c r="F412" s="15" t="s">
        <v>870</v>
      </c>
      <c r="G412" s="15"/>
      <c r="H412" s="17" t="str" cm="1">
        <f t="array" ref="H412">Reverse2_6(O412)</f>
        <v>00-010101</v>
      </c>
      <c r="I412" s="18" cm="1">
        <f t="array" ref="I412">HEX2DEC(Reverse(P412))</f>
        <v>93631153</v>
      </c>
      <c r="J412" s="18" cm="1">
        <f t="array" ref="J412">IF(Q412&lt;&gt;0, HEX2DEC(Reverse(Q412))-$I412,"")</f>
        <v>180</v>
      </c>
      <c r="K412" s="18" cm="1">
        <f t="array" ref="K412">IF(R412&lt;&gt;0, HEX2DEC(Reverse(R412))-$I412,"")</f>
        <v>21</v>
      </c>
      <c r="L412" s="18" cm="1">
        <f t="array" ref="L412">IF(S412&lt;&gt;0, HEX2DEC(Reverse(S412))-$I412,"")</f>
        <v>181</v>
      </c>
      <c r="M412" s="18" cm="1">
        <f t="array" ref="M412">IF(T412&lt;&gt;0, HEX2DEC(Reverse(T412))-$I412,"")</f>
        <v>22</v>
      </c>
      <c r="O412" s="3">
        <v>1010100</v>
      </c>
      <c r="P412" s="3" t="s">
        <v>114</v>
      </c>
      <c r="Q412" s="3" t="s">
        <v>1326</v>
      </c>
      <c r="R412" s="13" t="s">
        <v>153</v>
      </c>
      <c r="S412" s="3" t="s">
        <v>1329</v>
      </c>
      <c r="T412" s="3" t="s">
        <v>154</v>
      </c>
      <c r="U412" s="3" t="s">
        <v>1330</v>
      </c>
      <c r="V412" s="4" t="s">
        <v>1331</v>
      </c>
    </row>
    <row r="413" spans="1:22" x14ac:dyDescent="0.2">
      <c r="A413" s="20" t="s">
        <v>501</v>
      </c>
      <c r="B413" s="20">
        <v>3364</v>
      </c>
      <c r="C413" s="21" t="s">
        <v>1</v>
      </c>
      <c r="D413" s="21" t="s">
        <v>2</v>
      </c>
      <c r="E413" s="21" t="s">
        <v>90</v>
      </c>
      <c r="F413" s="21" t="s">
        <v>94</v>
      </c>
      <c r="G413" s="21" t="s">
        <v>1778</v>
      </c>
      <c r="H413" s="22" t="str" cm="1">
        <f t="array" ref="H413">Reverse2_6(O413)</f>
        <v>00-010201</v>
      </c>
      <c r="I413" s="45" cm="1">
        <f t="array" ref="I413">HEX2DEC(Reverse(P413))</f>
        <v>93631153</v>
      </c>
      <c r="J413" s="45" cm="1">
        <f t="array" ref="J413">IF(Q413&lt;&gt;0, HEX2DEC(Reverse(Q413))-$I413,"")</f>
        <v>23</v>
      </c>
      <c r="K413" s="45" cm="1">
        <f t="array" ref="K413">IF(R413&lt;&gt;0, HEX2DEC(Reverse(R413))-$I413,"")</f>
        <v>178</v>
      </c>
      <c r="L413" s="45" t="str" cm="1">
        <f t="array" ref="L413">IF(S413&lt;&gt;0, HEX2DEC(Reverse(S413))-$I413,"")</f>
        <v/>
      </c>
      <c r="M413" s="45" cm="1">
        <f t="array" ref="M413">IF(T413&lt;&gt;0, HEX2DEC(Reverse(T413))-$I413,"")</f>
        <v>179</v>
      </c>
      <c r="O413" s="3">
        <v>1020100</v>
      </c>
      <c r="P413" s="3" t="s">
        <v>114</v>
      </c>
      <c r="Q413" s="3" t="s">
        <v>903</v>
      </c>
      <c r="R413" s="3" t="s">
        <v>1323</v>
      </c>
      <c r="S413" s="3">
        <v>0</v>
      </c>
      <c r="T413" s="3" t="s">
        <v>1324</v>
      </c>
      <c r="U413" s="3"/>
      <c r="V413" s="4"/>
    </row>
    <row r="414" spans="1:22" x14ac:dyDescent="0.2">
      <c r="A414" s="20" t="s">
        <v>502</v>
      </c>
      <c r="B414" s="20">
        <v>3365</v>
      </c>
      <c r="C414" s="21" t="s">
        <v>1</v>
      </c>
      <c r="D414" s="21" t="s">
        <v>2</v>
      </c>
      <c r="E414" s="21" t="s">
        <v>90</v>
      </c>
      <c r="F414" s="21" t="s">
        <v>94</v>
      </c>
      <c r="G414" s="21" t="s">
        <v>1778</v>
      </c>
      <c r="H414" s="22" t="str" cm="1">
        <f t="array" ref="H414">Reverse2_6(O414)</f>
        <v>00-010201</v>
      </c>
      <c r="I414" s="45" cm="1">
        <f t="array" ref="I414">HEX2DEC(Reverse(P414))</f>
        <v>93631153</v>
      </c>
      <c r="J414" s="45" cm="1">
        <f t="array" ref="J414">IF(Q414&lt;&gt;0, HEX2DEC(Reverse(Q414))-$I414,"")</f>
        <v>23</v>
      </c>
      <c r="K414" s="45" cm="1">
        <f t="array" ref="K414">IF(R414&lt;&gt;0, HEX2DEC(Reverse(R414))-$I414,"")</f>
        <v>179</v>
      </c>
      <c r="L414" s="45" t="str" cm="1">
        <f t="array" ref="L414">IF(S414&lt;&gt;0, HEX2DEC(Reverse(S414))-$I414,"")</f>
        <v/>
      </c>
      <c r="M414" s="45" cm="1">
        <f t="array" ref="M414">IF(T414&lt;&gt;0, HEX2DEC(Reverse(T414))-$I414,"")</f>
        <v>180</v>
      </c>
      <c r="O414" s="3">
        <v>1020100</v>
      </c>
      <c r="P414" s="3" t="s">
        <v>114</v>
      </c>
      <c r="Q414" s="3" t="s">
        <v>903</v>
      </c>
      <c r="R414" s="3" t="s">
        <v>1324</v>
      </c>
      <c r="S414" s="3">
        <v>0</v>
      </c>
      <c r="T414" s="3" t="s">
        <v>1326</v>
      </c>
      <c r="U414" s="3"/>
      <c r="V414" s="4"/>
    </row>
    <row r="415" spans="1:22" x14ac:dyDescent="0.2">
      <c r="A415" s="20" t="s">
        <v>503</v>
      </c>
      <c r="B415" s="20">
        <v>3366</v>
      </c>
      <c r="C415" s="21" t="s">
        <v>1</v>
      </c>
      <c r="D415" s="21" t="s">
        <v>2</v>
      </c>
      <c r="E415" s="21" t="s">
        <v>90</v>
      </c>
      <c r="F415" s="21" t="s">
        <v>94</v>
      </c>
      <c r="G415" s="21" t="s">
        <v>1778</v>
      </c>
      <c r="H415" s="22" t="str" cm="1">
        <f t="array" ref="H415">Reverse2_6(O415)</f>
        <v>00-010201</v>
      </c>
      <c r="I415" s="45" cm="1">
        <f t="array" ref="I415">HEX2DEC(Reverse(P415))</f>
        <v>93631153</v>
      </c>
      <c r="J415" s="45" cm="1">
        <f t="array" ref="J415">IF(Q415&lt;&gt;0, HEX2DEC(Reverse(Q415))-$I415,"")</f>
        <v>23</v>
      </c>
      <c r="K415" s="45" cm="1">
        <f t="array" ref="K415">IF(R415&lt;&gt;0, HEX2DEC(Reverse(R415))-$I415,"")</f>
        <v>180</v>
      </c>
      <c r="L415" s="45" t="str" cm="1">
        <f t="array" ref="L415">IF(S415&lt;&gt;0, HEX2DEC(Reverse(S415))-$I415,"")</f>
        <v/>
      </c>
      <c r="M415" s="45" cm="1">
        <f t="array" ref="M415">IF(T415&lt;&gt;0, HEX2DEC(Reverse(T415))-$I415,"")</f>
        <v>181</v>
      </c>
      <c r="O415" s="3">
        <v>1020100</v>
      </c>
      <c r="P415" s="3" t="s">
        <v>114</v>
      </c>
      <c r="Q415" s="3" t="s">
        <v>903</v>
      </c>
      <c r="R415" s="3" t="s">
        <v>1326</v>
      </c>
      <c r="S415" s="3">
        <v>0</v>
      </c>
      <c r="T415" s="3" t="s">
        <v>1329</v>
      </c>
      <c r="U415" s="3"/>
      <c r="V415" s="4"/>
    </row>
    <row r="416" spans="1:22" x14ac:dyDescent="0.2">
      <c r="A416" s="16" t="s">
        <v>504</v>
      </c>
      <c r="B416" s="16">
        <v>3371</v>
      </c>
      <c r="C416" s="15" t="s">
        <v>2</v>
      </c>
      <c r="D416" s="15" t="s">
        <v>1</v>
      </c>
      <c r="E416" s="15" t="s">
        <v>92</v>
      </c>
      <c r="F416" s="15" t="s">
        <v>96</v>
      </c>
      <c r="G416" s="15"/>
      <c r="H416" s="17" t="str" cm="1">
        <f t="array" ref="H416">Reverse2_6(O416)</f>
        <v>00-010101</v>
      </c>
      <c r="I416" s="18" cm="1">
        <f t="array" ref="I416">HEX2DEC(Reverse(P416))</f>
        <v>93631153</v>
      </c>
      <c r="J416" s="18" cm="1">
        <f t="array" ref="J416">IF(Q416&lt;&gt;0, HEX2DEC(Reverse(Q416))-$I416,"")</f>
        <v>181</v>
      </c>
      <c r="K416" s="18" cm="1">
        <f t="array" ref="K416">IF(R416&lt;&gt;0, HEX2DEC(Reverse(R416))-$I416,"")</f>
        <v>21</v>
      </c>
      <c r="L416" s="18" cm="1">
        <f t="array" ref="L416">IF(S416&lt;&gt;0, HEX2DEC(Reverse(S416))-$I416,"")</f>
        <v>182</v>
      </c>
      <c r="M416" s="18" cm="1">
        <f t="array" ref="M416">IF(T416&lt;&gt;0, HEX2DEC(Reverse(T416))-$I416,"")</f>
        <v>22</v>
      </c>
      <c r="O416" s="3">
        <v>1010100</v>
      </c>
      <c r="P416" s="3" t="s">
        <v>114</v>
      </c>
      <c r="Q416" s="3" t="s">
        <v>1329</v>
      </c>
      <c r="R416" s="13" t="s">
        <v>153</v>
      </c>
      <c r="S416" s="3" t="s">
        <v>1332</v>
      </c>
      <c r="T416" s="3" t="s">
        <v>154</v>
      </c>
      <c r="U416" s="3">
        <v>31313131</v>
      </c>
      <c r="V416" s="4" t="s">
        <v>1333</v>
      </c>
    </row>
    <row r="417" spans="1:22" x14ac:dyDescent="0.2">
      <c r="A417" s="16" t="s">
        <v>505</v>
      </c>
      <c r="B417" s="16">
        <v>3372</v>
      </c>
      <c r="C417" s="15" t="s">
        <v>2</v>
      </c>
      <c r="D417" s="15" t="s">
        <v>1</v>
      </c>
      <c r="E417" s="15" t="s">
        <v>92</v>
      </c>
      <c r="F417" s="15" t="s">
        <v>871</v>
      </c>
      <c r="G417" s="15"/>
      <c r="H417" s="17" t="str" cm="1">
        <f t="array" ref="H417">Reverse2_6(O417)</f>
        <v>00-010101</v>
      </c>
      <c r="I417" s="18" cm="1">
        <f t="array" ref="I417">HEX2DEC(Reverse(P417))</f>
        <v>93631153</v>
      </c>
      <c r="J417" s="18" cm="1">
        <f t="array" ref="J417">IF(Q417&lt;&gt;0, HEX2DEC(Reverse(Q417))-$I417,"")</f>
        <v>182</v>
      </c>
      <c r="K417" s="18" cm="1">
        <f t="array" ref="K417">IF(R417&lt;&gt;0, HEX2DEC(Reverse(R417))-$I417,"")</f>
        <v>21</v>
      </c>
      <c r="L417" s="18" cm="1">
        <f t="array" ref="L417">IF(S417&lt;&gt;0, HEX2DEC(Reverse(S417))-$I417,"")</f>
        <v>183</v>
      </c>
      <c r="M417" s="18" cm="1">
        <f t="array" ref="M417">IF(T417&lt;&gt;0, HEX2DEC(Reverse(T417))-$I417,"")</f>
        <v>22</v>
      </c>
      <c r="O417" s="3">
        <v>1010100</v>
      </c>
      <c r="P417" s="3" t="s">
        <v>114</v>
      </c>
      <c r="Q417" s="3" t="s">
        <v>1332</v>
      </c>
      <c r="R417" s="13" t="s">
        <v>153</v>
      </c>
      <c r="S417" s="3" t="s">
        <v>1334</v>
      </c>
      <c r="T417" s="3" t="s">
        <v>154</v>
      </c>
      <c r="U417" s="3" t="s">
        <v>1335</v>
      </c>
      <c r="V417" s="4" t="s">
        <v>1336</v>
      </c>
    </row>
    <row r="418" spans="1:22" x14ac:dyDescent="0.2">
      <c r="A418" s="20" t="s">
        <v>506</v>
      </c>
      <c r="B418" s="20">
        <v>3373</v>
      </c>
      <c r="C418" s="21" t="s">
        <v>1</v>
      </c>
      <c r="D418" s="21" t="s">
        <v>2</v>
      </c>
      <c r="E418" s="21" t="s">
        <v>90</v>
      </c>
      <c r="F418" s="21" t="s">
        <v>94</v>
      </c>
      <c r="G418" s="21" t="s">
        <v>1778</v>
      </c>
      <c r="H418" s="22" t="str" cm="1">
        <f t="array" ref="H418">Reverse2_6(O418)</f>
        <v>00-010201</v>
      </c>
      <c r="I418" s="45" cm="1">
        <f t="array" ref="I418">HEX2DEC(Reverse(P418))</f>
        <v>93631153</v>
      </c>
      <c r="J418" s="45" cm="1">
        <f t="array" ref="J418">IF(Q418&lt;&gt;0, HEX2DEC(Reverse(Q418))-$I418,"")</f>
        <v>23</v>
      </c>
      <c r="K418" s="45" cm="1">
        <f t="array" ref="K418">IF(R418&lt;&gt;0, HEX2DEC(Reverse(R418))-$I418,"")</f>
        <v>181</v>
      </c>
      <c r="L418" s="45" t="str" cm="1">
        <f t="array" ref="L418">IF(S418&lt;&gt;0, HEX2DEC(Reverse(S418))-$I418,"")</f>
        <v/>
      </c>
      <c r="M418" s="45" cm="1">
        <f t="array" ref="M418">IF(T418&lt;&gt;0, HEX2DEC(Reverse(T418))-$I418,"")</f>
        <v>182</v>
      </c>
      <c r="O418" s="3">
        <v>1020100</v>
      </c>
      <c r="P418" s="3" t="s">
        <v>114</v>
      </c>
      <c r="Q418" s="3" t="s">
        <v>903</v>
      </c>
      <c r="R418" s="3" t="s">
        <v>1329</v>
      </c>
      <c r="S418" s="3">
        <v>0</v>
      </c>
      <c r="T418" s="3" t="s">
        <v>1332</v>
      </c>
      <c r="U418" s="3"/>
      <c r="V418" s="4"/>
    </row>
    <row r="419" spans="1:22" x14ac:dyDescent="0.2">
      <c r="A419" s="20" t="s">
        <v>507</v>
      </c>
      <c r="B419" s="20">
        <v>3374</v>
      </c>
      <c r="C419" s="21" t="s">
        <v>1</v>
      </c>
      <c r="D419" s="21" t="s">
        <v>2</v>
      </c>
      <c r="E419" s="21" t="s">
        <v>90</v>
      </c>
      <c r="F419" s="21" t="s">
        <v>94</v>
      </c>
      <c r="G419" s="21" t="s">
        <v>1778</v>
      </c>
      <c r="H419" s="22" t="str" cm="1">
        <f t="array" ref="H419">Reverse2_6(O419)</f>
        <v>00-010201</v>
      </c>
      <c r="I419" s="45" cm="1">
        <f t="array" ref="I419">HEX2DEC(Reverse(P419))</f>
        <v>93631153</v>
      </c>
      <c r="J419" s="45" cm="1">
        <f t="array" ref="J419">IF(Q419&lt;&gt;0, HEX2DEC(Reverse(Q419))-$I419,"")</f>
        <v>23</v>
      </c>
      <c r="K419" s="45" cm="1">
        <f t="array" ref="K419">IF(R419&lt;&gt;0, HEX2DEC(Reverse(R419))-$I419,"")</f>
        <v>182</v>
      </c>
      <c r="L419" s="45" t="str" cm="1">
        <f t="array" ref="L419">IF(S419&lt;&gt;0, HEX2DEC(Reverse(S419))-$I419,"")</f>
        <v/>
      </c>
      <c r="M419" s="45" cm="1">
        <f t="array" ref="M419">IF(T419&lt;&gt;0, HEX2DEC(Reverse(T419))-$I419,"")</f>
        <v>183</v>
      </c>
      <c r="O419" s="3">
        <v>1020100</v>
      </c>
      <c r="P419" s="3" t="s">
        <v>114</v>
      </c>
      <c r="Q419" s="3" t="s">
        <v>903</v>
      </c>
      <c r="R419" s="3" t="s">
        <v>1332</v>
      </c>
      <c r="S419" s="3">
        <v>0</v>
      </c>
      <c r="T419" s="3" t="s">
        <v>1334</v>
      </c>
      <c r="U419" s="3"/>
      <c r="V419" s="4"/>
    </row>
    <row r="420" spans="1:22" x14ac:dyDescent="0.2">
      <c r="A420" s="16" t="s">
        <v>508</v>
      </c>
      <c r="B420" s="16">
        <v>3383</v>
      </c>
      <c r="C420" s="15" t="s">
        <v>2</v>
      </c>
      <c r="D420" s="15" t="s">
        <v>1</v>
      </c>
      <c r="E420" s="15" t="s">
        <v>92</v>
      </c>
      <c r="F420" s="15" t="s">
        <v>96</v>
      </c>
      <c r="G420" s="15"/>
      <c r="H420" s="17" t="str" cm="1">
        <f t="array" ref="H420">Reverse2_6(O420)</f>
        <v>00-010101</v>
      </c>
      <c r="I420" s="18" cm="1">
        <f t="array" ref="I420">HEX2DEC(Reverse(P420))</f>
        <v>93631153</v>
      </c>
      <c r="J420" s="18" cm="1">
        <f t="array" ref="J420">IF(Q420&lt;&gt;0, HEX2DEC(Reverse(Q420))-$I420,"")</f>
        <v>183</v>
      </c>
      <c r="K420" s="18" cm="1">
        <f t="array" ref="K420">IF(R420&lt;&gt;0, HEX2DEC(Reverse(R420))-$I420,"")</f>
        <v>21</v>
      </c>
      <c r="L420" s="18" cm="1">
        <f t="array" ref="L420">IF(S420&lt;&gt;0, HEX2DEC(Reverse(S420))-$I420,"")</f>
        <v>184</v>
      </c>
      <c r="M420" s="18" cm="1">
        <f t="array" ref="M420">IF(T420&lt;&gt;0, HEX2DEC(Reverse(T420))-$I420,"")</f>
        <v>22</v>
      </c>
      <c r="O420" s="3">
        <v>1010100</v>
      </c>
      <c r="P420" s="3" t="s">
        <v>114</v>
      </c>
      <c r="Q420" s="3" t="s">
        <v>1334</v>
      </c>
      <c r="R420" s="13" t="s">
        <v>153</v>
      </c>
      <c r="S420" s="3" t="s">
        <v>1337</v>
      </c>
      <c r="T420" s="3" t="s">
        <v>154</v>
      </c>
      <c r="U420" s="3">
        <v>31313131</v>
      </c>
      <c r="V420" s="4" t="s">
        <v>1338</v>
      </c>
    </row>
    <row r="421" spans="1:22" x14ac:dyDescent="0.2">
      <c r="A421" s="16" t="s">
        <v>509</v>
      </c>
      <c r="B421" s="16">
        <v>3384</v>
      </c>
      <c r="C421" s="15" t="s">
        <v>2</v>
      </c>
      <c r="D421" s="15" t="s">
        <v>1</v>
      </c>
      <c r="E421" s="15" t="s">
        <v>92</v>
      </c>
      <c r="F421" s="15" t="s">
        <v>872</v>
      </c>
      <c r="G421" s="15"/>
      <c r="H421" s="17" t="str" cm="1">
        <f t="array" ref="H421">Reverse2_6(O421)</f>
        <v>00-010101</v>
      </c>
      <c r="I421" s="18" cm="1">
        <f t="array" ref="I421">HEX2DEC(Reverse(P421))</f>
        <v>93631153</v>
      </c>
      <c r="J421" s="18" cm="1">
        <f t="array" ref="J421">IF(Q421&lt;&gt;0, HEX2DEC(Reverse(Q421))-$I421,"")</f>
        <v>184</v>
      </c>
      <c r="K421" s="18" cm="1">
        <f t="array" ref="K421">IF(R421&lt;&gt;0, HEX2DEC(Reverse(R421))-$I421,"")</f>
        <v>21</v>
      </c>
      <c r="L421" s="18" cm="1">
        <f t="array" ref="L421">IF(S421&lt;&gt;0, HEX2DEC(Reverse(S421))-$I421,"")</f>
        <v>185</v>
      </c>
      <c r="M421" s="18" cm="1">
        <f t="array" ref="M421">IF(T421&lt;&gt;0, HEX2DEC(Reverse(T421))-$I421,"")</f>
        <v>22</v>
      </c>
      <c r="O421" s="3">
        <v>1010100</v>
      </c>
      <c r="P421" s="3" t="s">
        <v>114</v>
      </c>
      <c r="Q421" s="3" t="s">
        <v>1337</v>
      </c>
      <c r="R421" s="13" t="s">
        <v>153</v>
      </c>
      <c r="S421" s="3" t="s">
        <v>1339</v>
      </c>
      <c r="T421" s="3" t="s">
        <v>154</v>
      </c>
      <c r="U421" s="3" t="s">
        <v>1340</v>
      </c>
      <c r="V421" s="4" t="s">
        <v>1341</v>
      </c>
    </row>
    <row r="422" spans="1:22" x14ac:dyDescent="0.2">
      <c r="A422" s="24" t="s">
        <v>510</v>
      </c>
      <c r="B422" s="24">
        <v>3385</v>
      </c>
      <c r="C422" s="25" t="s">
        <v>2</v>
      </c>
      <c r="D422" s="25" t="s">
        <v>1</v>
      </c>
      <c r="E422" s="25" t="s">
        <v>92</v>
      </c>
      <c r="F422" s="25" t="s">
        <v>94</v>
      </c>
      <c r="G422" s="25" t="s">
        <v>1777</v>
      </c>
      <c r="H422" s="26" t="str" cm="1">
        <f t="array" ref="H422">Reverse2_6(O422)</f>
        <v>00-010201</v>
      </c>
      <c r="I422" s="43" cm="1">
        <f t="array" ref="I422">HEX2DEC(Reverse(P422))</f>
        <v>93631153</v>
      </c>
      <c r="J422" s="43" cm="1">
        <f t="array" ref="J422">IF(Q422&lt;&gt;0, HEX2DEC(Reverse(Q422))-$I422,"")</f>
        <v>184</v>
      </c>
      <c r="K422" s="43" cm="1">
        <f t="array" ref="K422">IF(R422&lt;&gt;0, HEX2DEC(Reverse(R422))-$I422,"")</f>
        <v>22</v>
      </c>
      <c r="L422" s="43" t="str" cm="1">
        <f t="array" ref="L422">IF(S422&lt;&gt;0, HEX2DEC(Reverse(S422))-$I422,"")</f>
        <v/>
      </c>
      <c r="M422" s="43" cm="1">
        <f t="array" ref="M422">IF(T422&lt;&gt;0, HEX2DEC(Reverse(T422))-$I422,"")</f>
        <v>23</v>
      </c>
      <c r="O422" s="26">
        <v>1020100</v>
      </c>
      <c r="P422" s="26" t="s">
        <v>114</v>
      </c>
      <c r="Q422" s="26" t="s">
        <v>1337</v>
      </c>
      <c r="R422" s="3" t="s">
        <v>154</v>
      </c>
      <c r="S422" s="26">
        <v>0</v>
      </c>
      <c r="T422" s="26" t="s">
        <v>903</v>
      </c>
      <c r="U422" s="3"/>
      <c r="V422" s="4"/>
    </row>
    <row r="423" spans="1:22" x14ac:dyDescent="0.2">
      <c r="A423" s="24" t="s">
        <v>511</v>
      </c>
      <c r="B423" s="24">
        <v>3386</v>
      </c>
      <c r="C423" s="25" t="s">
        <v>2</v>
      </c>
      <c r="D423" s="25" t="s">
        <v>1</v>
      </c>
      <c r="E423" s="25" t="s">
        <v>92</v>
      </c>
      <c r="F423" s="25" t="s">
        <v>94</v>
      </c>
      <c r="G423" s="25" t="s">
        <v>1777</v>
      </c>
      <c r="H423" s="26" t="str" cm="1">
        <f t="array" ref="H423">Reverse2_6(O423)</f>
        <v>00-010201</v>
      </c>
      <c r="I423" s="43" cm="1">
        <f t="array" ref="I423">HEX2DEC(Reverse(P423))</f>
        <v>93631153</v>
      </c>
      <c r="J423" s="43" cm="1">
        <f t="array" ref="J423">IF(Q423&lt;&gt;0, HEX2DEC(Reverse(Q423))-$I423,"")</f>
        <v>184</v>
      </c>
      <c r="K423" s="43" cm="1">
        <f t="array" ref="K423">IF(R423&lt;&gt;0, HEX2DEC(Reverse(R423))-$I423,"")</f>
        <v>23</v>
      </c>
      <c r="L423" s="43" t="str" cm="1">
        <f t="array" ref="L423">IF(S423&lt;&gt;0, HEX2DEC(Reverse(S423))-$I423,"")</f>
        <v/>
      </c>
      <c r="M423" s="43" cm="1">
        <f t="array" ref="M423">IF(T423&lt;&gt;0, HEX2DEC(Reverse(T423))-$I423,"")</f>
        <v>24</v>
      </c>
      <c r="O423" s="26">
        <v>1020100</v>
      </c>
      <c r="P423" s="26" t="s">
        <v>114</v>
      </c>
      <c r="Q423" s="26" t="s">
        <v>1337</v>
      </c>
      <c r="R423" s="31" t="s">
        <v>903</v>
      </c>
      <c r="S423" s="26">
        <v>0</v>
      </c>
      <c r="T423" s="26" t="s">
        <v>905</v>
      </c>
      <c r="U423" s="3"/>
      <c r="V423" s="4"/>
    </row>
    <row r="424" spans="1:22" x14ac:dyDescent="0.2">
      <c r="A424" s="20" t="s">
        <v>512</v>
      </c>
      <c r="B424" s="20">
        <v>3387</v>
      </c>
      <c r="C424" s="21" t="s">
        <v>1</v>
      </c>
      <c r="D424" s="21" t="s">
        <v>2</v>
      </c>
      <c r="E424" s="21" t="s">
        <v>90</v>
      </c>
      <c r="F424" s="21" t="s">
        <v>94</v>
      </c>
      <c r="G424" s="21" t="s">
        <v>1778</v>
      </c>
      <c r="H424" s="22" t="str" cm="1">
        <f t="array" ref="H424">Reverse2_6(O424)</f>
        <v>00-010201</v>
      </c>
      <c r="I424" s="45" cm="1">
        <f t="array" ref="I424">HEX2DEC(Reverse(P424))</f>
        <v>93631153</v>
      </c>
      <c r="J424" s="45" cm="1">
        <f t="array" ref="J424">IF(Q424&lt;&gt;0, HEX2DEC(Reverse(Q424))-$I424,"")</f>
        <v>23</v>
      </c>
      <c r="K424" s="45" cm="1">
        <f t="array" ref="K424">IF(R424&lt;&gt;0, HEX2DEC(Reverse(R424))-$I424,"")</f>
        <v>183</v>
      </c>
      <c r="L424" s="45" t="str" cm="1">
        <f t="array" ref="L424">IF(S424&lt;&gt;0, HEX2DEC(Reverse(S424))-$I424,"")</f>
        <v/>
      </c>
      <c r="M424" s="45" cm="1">
        <f t="array" ref="M424">IF(T424&lt;&gt;0, HEX2DEC(Reverse(T424))-$I424,"")</f>
        <v>184</v>
      </c>
      <c r="O424" s="3">
        <v>1020100</v>
      </c>
      <c r="P424" s="3" t="s">
        <v>114</v>
      </c>
      <c r="Q424" s="3" t="s">
        <v>903</v>
      </c>
      <c r="R424" s="3" t="s">
        <v>1334</v>
      </c>
      <c r="S424" s="3">
        <v>0</v>
      </c>
      <c r="T424" s="3" t="s">
        <v>1337</v>
      </c>
      <c r="U424" s="3"/>
      <c r="V424" s="4"/>
    </row>
    <row r="425" spans="1:22" x14ac:dyDescent="0.2">
      <c r="A425" s="20" t="s">
        <v>513</v>
      </c>
      <c r="B425" s="20">
        <v>3388</v>
      </c>
      <c r="C425" s="21" t="s">
        <v>1</v>
      </c>
      <c r="D425" s="21" t="s">
        <v>2</v>
      </c>
      <c r="E425" s="21" t="s">
        <v>90</v>
      </c>
      <c r="F425" s="21" t="s">
        <v>94</v>
      </c>
      <c r="G425" s="21" t="s">
        <v>1778</v>
      </c>
      <c r="H425" s="22" t="str" cm="1">
        <f t="array" ref="H425">Reverse2_6(O425)</f>
        <v>00-010201</v>
      </c>
      <c r="I425" s="45" cm="1">
        <f t="array" ref="I425">HEX2DEC(Reverse(P425))</f>
        <v>93631153</v>
      </c>
      <c r="J425" s="45" cm="1">
        <f t="array" ref="J425">IF(Q425&lt;&gt;0, HEX2DEC(Reverse(Q425))-$I425,"")</f>
        <v>23</v>
      </c>
      <c r="K425" s="45" cm="1">
        <f t="array" ref="K425">IF(R425&lt;&gt;0, HEX2DEC(Reverse(R425))-$I425,"")</f>
        <v>184</v>
      </c>
      <c r="L425" s="45" t="str" cm="1">
        <f t="array" ref="L425">IF(S425&lt;&gt;0, HEX2DEC(Reverse(S425))-$I425,"")</f>
        <v/>
      </c>
      <c r="M425" s="45" cm="1">
        <f t="array" ref="M425">IF(T425&lt;&gt;0, HEX2DEC(Reverse(T425))-$I425,"")</f>
        <v>185</v>
      </c>
      <c r="O425" s="3">
        <v>1020100</v>
      </c>
      <c r="P425" s="3" t="s">
        <v>114</v>
      </c>
      <c r="Q425" s="3" t="s">
        <v>903</v>
      </c>
      <c r="R425" s="3" t="s">
        <v>1337</v>
      </c>
      <c r="S425" s="3">
        <v>0</v>
      </c>
      <c r="T425" s="3" t="s">
        <v>1339</v>
      </c>
      <c r="U425" s="3"/>
      <c r="V425" s="4"/>
    </row>
    <row r="426" spans="1:22" x14ac:dyDescent="0.2">
      <c r="A426" s="16" t="s">
        <v>514</v>
      </c>
      <c r="B426" s="16">
        <v>3401</v>
      </c>
      <c r="C426" s="15" t="s">
        <v>2</v>
      </c>
      <c r="D426" s="15" t="s">
        <v>1</v>
      </c>
      <c r="E426" s="15" t="s">
        <v>92</v>
      </c>
      <c r="F426" s="15" t="s">
        <v>96</v>
      </c>
      <c r="G426" s="15"/>
      <c r="H426" s="17" t="str" cm="1">
        <f t="array" ref="H426">Reverse2_6(O426)</f>
        <v>00-010101</v>
      </c>
      <c r="I426" s="18" cm="1">
        <f t="array" ref="I426">HEX2DEC(Reverse(P426))</f>
        <v>93631153</v>
      </c>
      <c r="J426" s="18" cm="1">
        <f t="array" ref="J426">IF(Q426&lt;&gt;0, HEX2DEC(Reverse(Q426))-$I426,"")</f>
        <v>185</v>
      </c>
      <c r="K426" s="18" cm="1">
        <f t="array" ref="K426">IF(R426&lt;&gt;0, HEX2DEC(Reverse(R426))-$I426,"")</f>
        <v>23</v>
      </c>
      <c r="L426" s="18" cm="1">
        <f t="array" ref="L426">IF(S426&lt;&gt;0, HEX2DEC(Reverse(S426))-$I426,"")</f>
        <v>186</v>
      </c>
      <c r="M426" s="18" cm="1">
        <f t="array" ref="M426">IF(T426&lt;&gt;0, HEX2DEC(Reverse(T426))-$I426,"")</f>
        <v>24</v>
      </c>
      <c r="O426" s="3">
        <v>1010100</v>
      </c>
      <c r="P426" s="3" t="s">
        <v>114</v>
      </c>
      <c r="Q426" s="3" t="s">
        <v>1339</v>
      </c>
      <c r="R426" s="31" t="s">
        <v>903</v>
      </c>
      <c r="S426" s="3" t="s">
        <v>1342</v>
      </c>
      <c r="T426" s="3" t="s">
        <v>905</v>
      </c>
      <c r="U426" s="3">
        <v>31313131</v>
      </c>
      <c r="V426" s="4" t="s">
        <v>151</v>
      </c>
    </row>
    <row r="427" spans="1:22" x14ac:dyDescent="0.2">
      <c r="A427" s="16" t="s">
        <v>515</v>
      </c>
      <c r="B427" s="16">
        <v>3402</v>
      </c>
      <c r="C427" s="15" t="s">
        <v>2</v>
      </c>
      <c r="D427" s="15" t="s">
        <v>1</v>
      </c>
      <c r="E427" s="15" t="s">
        <v>92</v>
      </c>
      <c r="F427" s="15" t="s">
        <v>96</v>
      </c>
      <c r="G427" s="15"/>
      <c r="H427" s="17" t="str" cm="1">
        <f t="array" ref="H427">Reverse2_6(O427)</f>
        <v>00-010101</v>
      </c>
      <c r="I427" s="18" cm="1">
        <f t="array" ref="I427">HEX2DEC(Reverse(P427))</f>
        <v>93631153</v>
      </c>
      <c r="J427" s="18" cm="1">
        <f t="array" ref="J427">IF(Q427&lt;&gt;0, HEX2DEC(Reverse(Q427))-$I427,"")</f>
        <v>186</v>
      </c>
      <c r="K427" s="18" cm="1">
        <f t="array" ref="K427">IF(R427&lt;&gt;0, HEX2DEC(Reverse(R427))-$I427,"")</f>
        <v>23</v>
      </c>
      <c r="L427" s="18" cm="1">
        <f t="array" ref="L427">IF(S427&lt;&gt;0, HEX2DEC(Reverse(S427))-$I427,"")</f>
        <v>187</v>
      </c>
      <c r="M427" s="18" cm="1">
        <f t="array" ref="M427">IF(T427&lt;&gt;0, HEX2DEC(Reverse(T427))-$I427,"")</f>
        <v>24</v>
      </c>
      <c r="O427" s="3">
        <v>1010100</v>
      </c>
      <c r="P427" s="3" t="s">
        <v>114</v>
      </c>
      <c r="Q427" s="3" t="s">
        <v>1342</v>
      </c>
      <c r="R427" s="31" t="s">
        <v>903</v>
      </c>
      <c r="S427" s="3" t="s">
        <v>1343</v>
      </c>
      <c r="T427" s="3" t="s">
        <v>905</v>
      </c>
      <c r="U427" s="3" t="s">
        <v>1344</v>
      </c>
      <c r="V427" s="4" t="s">
        <v>1345</v>
      </c>
    </row>
    <row r="428" spans="1:22" x14ac:dyDescent="0.2">
      <c r="A428" s="16" t="s">
        <v>516</v>
      </c>
      <c r="B428" s="16">
        <v>3403</v>
      </c>
      <c r="C428" s="15" t="s">
        <v>2</v>
      </c>
      <c r="D428" s="15" t="s">
        <v>1</v>
      </c>
      <c r="E428" s="15" t="s">
        <v>92</v>
      </c>
      <c r="F428" s="15" t="s">
        <v>873</v>
      </c>
      <c r="G428" s="15"/>
      <c r="H428" s="17" t="str" cm="1">
        <f t="array" ref="H428">Reverse2_6(O428)</f>
        <v>00-010101</v>
      </c>
      <c r="I428" s="18" cm="1">
        <f t="array" ref="I428">HEX2DEC(Reverse(P428))</f>
        <v>93631153</v>
      </c>
      <c r="J428" s="18" cm="1">
        <f t="array" ref="J428">IF(Q428&lt;&gt;0, HEX2DEC(Reverse(Q428))-$I428,"")</f>
        <v>187</v>
      </c>
      <c r="K428" s="18" cm="1">
        <f t="array" ref="K428">IF(R428&lt;&gt;0, HEX2DEC(Reverse(R428))-$I428,"")</f>
        <v>23</v>
      </c>
      <c r="L428" s="18" cm="1">
        <f t="array" ref="L428">IF(S428&lt;&gt;0, HEX2DEC(Reverse(S428))-$I428,"")</f>
        <v>188</v>
      </c>
      <c r="M428" s="18" cm="1">
        <f t="array" ref="M428">IF(T428&lt;&gt;0, HEX2DEC(Reverse(T428))-$I428,"")</f>
        <v>24</v>
      </c>
      <c r="O428" s="3">
        <v>1010100</v>
      </c>
      <c r="P428" s="3" t="s">
        <v>114</v>
      </c>
      <c r="Q428" s="3" t="s">
        <v>1343</v>
      </c>
      <c r="R428" s="31" t="s">
        <v>903</v>
      </c>
      <c r="S428" s="3" t="s">
        <v>1346</v>
      </c>
      <c r="T428" s="3" t="s">
        <v>905</v>
      </c>
      <c r="U428" s="3" t="s">
        <v>1347</v>
      </c>
      <c r="V428" s="4" t="s">
        <v>1348</v>
      </c>
    </row>
    <row r="429" spans="1:22" x14ac:dyDescent="0.2">
      <c r="A429" s="20" t="s">
        <v>517</v>
      </c>
      <c r="B429" s="20">
        <v>3404</v>
      </c>
      <c r="C429" s="21" t="s">
        <v>1</v>
      </c>
      <c r="D429" s="21" t="s">
        <v>2</v>
      </c>
      <c r="E429" s="21" t="s">
        <v>90</v>
      </c>
      <c r="F429" s="21" t="s">
        <v>94</v>
      </c>
      <c r="G429" s="21" t="s">
        <v>1778</v>
      </c>
      <c r="H429" s="22" t="str" cm="1">
        <f t="array" ref="H429">Reverse2_6(O429)</f>
        <v>00-010201</v>
      </c>
      <c r="I429" s="45" cm="1">
        <f t="array" ref="I429">HEX2DEC(Reverse(P429))</f>
        <v>93631153</v>
      </c>
      <c r="J429" s="45" cm="1">
        <f t="array" ref="J429">IF(Q429&lt;&gt;0, HEX2DEC(Reverse(Q429))-$I429,"")</f>
        <v>23</v>
      </c>
      <c r="K429" s="45" cm="1">
        <f t="array" ref="K429">IF(R429&lt;&gt;0, HEX2DEC(Reverse(R429))-$I429,"")</f>
        <v>185</v>
      </c>
      <c r="L429" s="45" t="str" cm="1">
        <f t="array" ref="L429">IF(S429&lt;&gt;0, HEX2DEC(Reverse(S429))-$I429,"")</f>
        <v/>
      </c>
      <c r="M429" s="45" cm="1">
        <f t="array" ref="M429">IF(T429&lt;&gt;0, HEX2DEC(Reverse(T429))-$I429,"")</f>
        <v>186</v>
      </c>
      <c r="O429" s="3">
        <v>1020100</v>
      </c>
      <c r="P429" s="3" t="s">
        <v>114</v>
      </c>
      <c r="Q429" s="3" t="s">
        <v>903</v>
      </c>
      <c r="R429" s="3" t="s">
        <v>1339</v>
      </c>
      <c r="S429" s="3">
        <v>0</v>
      </c>
      <c r="T429" s="3" t="s">
        <v>1342</v>
      </c>
      <c r="U429" s="3"/>
      <c r="V429" s="4"/>
    </row>
    <row r="430" spans="1:22" x14ac:dyDescent="0.2">
      <c r="A430" s="20" t="s">
        <v>518</v>
      </c>
      <c r="B430" s="20">
        <v>3405</v>
      </c>
      <c r="C430" s="21" t="s">
        <v>1</v>
      </c>
      <c r="D430" s="21" t="s">
        <v>2</v>
      </c>
      <c r="E430" s="21" t="s">
        <v>90</v>
      </c>
      <c r="F430" s="21" t="s">
        <v>94</v>
      </c>
      <c r="G430" s="21" t="s">
        <v>1778</v>
      </c>
      <c r="H430" s="22" t="str" cm="1">
        <f t="array" ref="H430">Reverse2_6(O430)</f>
        <v>00-010201</v>
      </c>
      <c r="I430" s="45" cm="1">
        <f t="array" ref="I430">HEX2DEC(Reverse(P430))</f>
        <v>93631153</v>
      </c>
      <c r="J430" s="45" cm="1">
        <f t="array" ref="J430">IF(Q430&lt;&gt;0, HEX2DEC(Reverse(Q430))-$I430,"")</f>
        <v>23</v>
      </c>
      <c r="K430" s="45" cm="1">
        <f t="array" ref="K430">IF(R430&lt;&gt;0, HEX2DEC(Reverse(R430))-$I430,"")</f>
        <v>186</v>
      </c>
      <c r="L430" s="45" t="str" cm="1">
        <f t="array" ref="L430">IF(S430&lt;&gt;0, HEX2DEC(Reverse(S430))-$I430,"")</f>
        <v/>
      </c>
      <c r="M430" s="45" cm="1">
        <f t="array" ref="M430">IF(T430&lt;&gt;0, HEX2DEC(Reverse(T430))-$I430,"")</f>
        <v>187</v>
      </c>
      <c r="O430" s="3">
        <v>1020100</v>
      </c>
      <c r="P430" s="3" t="s">
        <v>114</v>
      </c>
      <c r="Q430" s="3" t="s">
        <v>903</v>
      </c>
      <c r="R430" s="3" t="s">
        <v>1342</v>
      </c>
      <c r="S430" s="3">
        <v>0</v>
      </c>
      <c r="T430" s="3" t="s">
        <v>1343</v>
      </c>
      <c r="U430" s="3"/>
      <c r="V430" s="4"/>
    </row>
    <row r="431" spans="1:22" x14ac:dyDescent="0.2">
      <c r="A431" s="20" t="s">
        <v>519</v>
      </c>
      <c r="B431" s="20">
        <v>3406</v>
      </c>
      <c r="C431" s="21" t="s">
        <v>1</v>
      </c>
      <c r="D431" s="21" t="s">
        <v>2</v>
      </c>
      <c r="E431" s="21" t="s">
        <v>90</v>
      </c>
      <c r="F431" s="21" t="s">
        <v>94</v>
      </c>
      <c r="G431" s="21" t="s">
        <v>1778</v>
      </c>
      <c r="H431" s="22" t="str" cm="1">
        <f t="array" ref="H431">Reverse2_6(O431)</f>
        <v>00-010201</v>
      </c>
      <c r="I431" s="45" cm="1">
        <f t="array" ref="I431">HEX2DEC(Reverse(P431))</f>
        <v>93631153</v>
      </c>
      <c r="J431" s="45" cm="1">
        <f t="array" ref="J431">IF(Q431&lt;&gt;0, HEX2DEC(Reverse(Q431))-$I431,"")</f>
        <v>23</v>
      </c>
      <c r="K431" s="45" cm="1">
        <f t="array" ref="K431">IF(R431&lt;&gt;0, HEX2DEC(Reverse(R431))-$I431,"")</f>
        <v>187</v>
      </c>
      <c r="L431" s="45" t="str" cm="1">
        <f t="array" ref="L431">IF(S431&lt;&gt;0, HEX2DEC(Reverse(S431))-$I431,"")</f>
        <v/>
      </c>
      <c r="M431" s="45" cm="1">
        <f t="array" ref="M431">IF(T431&lt;&gt;0, HEX2DEC(Reverse(T431))-$I431,"")</f>
        <v>188</v>
      </c>
      <c r="O431" s="3">
        <v>1020100</v>
      </c>
      <c r="P431" s="3" t="s">
        <v>114</v>
      </c>
      <c r="Q431" s="3" t="s">
        <v>903</v>
      </c>
      <c r="R431" s="3" t="s">
        <v>1343</v>
      </c>
      <c r="S431" s="3">
        <v>0</v>
      </c>
      <c r="T431" s="3" t="s">
        <v>1346</v>
      </c>
      <c r="U431" s="3"/>
      <c r="V431" s="4"/>
    </row>
    <row r="432" spans="1:22" x14ac:dyDescent="0.2">
      <c r="A432" s="16" t="s">
        <v>520</v>
      </c>
      <c r="B432" s="16">
        <v>3413</v>
      </c>
      <c r="C432" s="15" t="s">
        <v>2</v>
      </c>
      <c r="D432" s="15" t="s">
        <v>1</v>
      </c>
      <c r="E432" s="15" t="s">
        <v>92</v>
      </c>
      <c r="F432" s="15" t="s">
        <v>96</v>
      </c>
      <c r="G432" s="15"/>
      <c r="H432" s="17" t="str" cm="1">
        <f t="array" ref="H432">Reverse2_6(O432)</f>
        <v>00-010101</v>
      </c>
      <c r="I432" s="18" cm="1">
        <f t="array" ref="I432">HEX2DEC(Reverse(P432))</f>
        <v>93631153</v>
      </c>
      <c r="J432" s="18" cm="1">
        <f t="array" ref="J432">IF(Q432&lt;&gt;0, HEX2DEC(Reverse(Q432))-$I432,"")</f>
        <v>188</v>
      </c>
      <c r="K432" s="18" cm="1">
        <f t="array" ref="K432">IF(R432&lt;&gt;0, HEX2DEC(Reverse(R432))-$I432,"")</f>
        <v>23</v>
      </c>
      <c r="L432" s="18" cm="1">
        <f t="array" ref="L432">IF(S432&lt;&gt;0, HEX2DEC(Reverse(S432))-$I432,"")</f>
        <v>189</v>
      </c>
      <c r="M432" s="18" cm="1">
        <f t="array" ref="M432">IF(T432&lt;&gt;0, HEX2DEC(Reverse(T432))-$I432,"")</f>
        <v>24</v>
      </c>
      <c r="O432" s="3">
        <v>1010100</v>
      </c>
      <c r="P432" s="3" t="s">
        <v>114</v>
      </c>
      <c r="Q432" s="3" t="s">
        <v>1346</v>
      </c>
      <c r="R432" s="31" t="s">
        <v>903</v>
      </c>
      <c r="S432" s="3" t="s">
        <v>1349</v>
      </c>
      <c r="T432" s="3" t="s">
        <v>905</v>
      </c>
      <c r="U432" s="3">
        <v>31313131</v>
      </c>
      <c r="V432" s="4" t="s">
        <v>1350</v>
      </c>
    </row>
    <row r="433" spans="1:22" x14ac:dyDescent="0.2">
      <c r="A433" s="16" t="s">
        <v>521</v>
      </c>
      <c r="B433" s="16">
        <v>3414</v>
      </c>
      <c r="C433" s="15" t="s">
        <v>2</v>
      </c>
      <c r="D433" s="15" t="s">
        <v>1</v>
      </c>
      <c r="E433" s="15" t="s">
        <v>92</v>
      </c>
      <c r="F433" s="15" t="s">
        <v>874</v>
      </c>
      <c r="G433" s="15"/>
      <c r="H433" s="17" t="str" cm="1">
        <f t="array" ref="H433">Reverse2_6(O433)</f>
        <v>00-010101</v>
      </c>
      <c r="I433" s="18" cm="1">
        <f t="array" ref="I433">HEX2DEC(Reverse(P433))</f>
        <v>93631153</v>
      </c>
      <c r="J433" s="18" cm="1">
        <f t="array" ref="J433">IF(Q433&lt;&gt;0, HEX2DEC(Reverse(Q433))-$I433,"")</f>
        <v>189</v>
      </c>
      <c r="K433" s="18" cm="1">
        <f t="array" ref="K433">IF(R433&lt;&gt;0, HEX2DEC(Reverse(R433))-$I433,"")</f>
        <v>23</v>
      </c>
      <c r="L433" s="18" cm="1">
        <f t="array" ref="L433">IF(S433&lt;&gt;0, HEX2DEC(Reverse(S433))-$I433,"")</f>
        <v>190</v>
      </c>
      <c r="M433" s="18" cm="1">
        <f t="array" ref="M433">IF(T433&lt;&gt;0, HEX2DEC(Reverse(T433))-$I433,"")</f>
        <v>24</v>
      </c>
      <c r="O433" s="3">
        <v>1010100</v>
      </c>
      <c r="P433" s="3" t="s">
        <v>114</v>
      </c>
      <c r="Q433" s="3" t="s">
        <v>1349</v>
      </c>
      <c r="R433" s="31" t="s">
        <v>903</v>
      </c>
      <c r="S433" s="3" t="s">
        <v>1351</v>
      </c>
      <c r="T433" s="3" t="s">
        <v>905</v>
      </c>
      <c r="U433" s="3" t="s">
        <v>1352</v>
      </c>
      <c r="V433" s="4" t="s">
        <v>1353</v>
      </c>
    </row>
    <row r="434" spans="1:22" x14ac:dyDescent="0.2">
      <c r="A434" s="20" t="s">
        <v>522</v>
      </c>
      <c r="B434" s="20">
        <v>3415</v>
      </c>
      <c r="C434" s="21" t="s">
        <v>1</v>
      </c>
      <c r="D434" s="21" t="s">
        <v>2</v>
      </c>
      <c r="E434" s="21" t="s">
        <v>90</v>
      </c>
      <c r="F434" s="21" t="s">
        <v>94</v>
      </c>
      <c r="G434" s="21" t="s">
        <v>1778</v>
      </c>
      <c r="H434" s="22" t="str" cm="1">
        <f t="array" ref="H434">Reverse2_6(O434)</f>
        <v>00-010201</v>
      </c>
      <c r="I434" s="45" cm="1">
        <f t="array" ref="I434">HEX2DEC(Reverse(P434))</f>
        <v>93631153</v>
      </c>
      <c r="J434" s="45" cm="1">
        <f t="array" ref="J434">IF(Q434&lt;&gt;0, HEX2DEC(Reverse(Q434))-$I434,"")</f>
        <v>23</v>
      </c>
      <c r="K434" s="45" cm="1">
        <f t="array" ref="K434">IF(R434&lt;&gt;0, HEX2DEC(Reverse(R434))-$I434,"")</f>
        <v>188</v>
      </c>
      <c r="L434" s="45" t="str" cm="1">
        <f t="array" ref="L434">IF(S434&lt;&gt;0, HEX2DEC(Reverse(S434))-$I434,"")</f>
        <v/>
      </c>
      <c r="M434" s="45" cm="1">
        <f t="array" ref="M434">IF(T434&lt;&gt;0, HEX2DEC(Reverse(T434))-$I434,"")</f>
        <v>189</v>
      </c>
      <c r="O434" s="3">
        <v>1020100</v>
      </c>
      <c r="P434" s="3" t="s">
        <v>114</v>
      </c>
      <c r="Q434" s="3" t="s">
        <v>903</v>
      </c>
      <c r="R434" s="3" t="s">
        <v>1346</v>
      </c>
      <c r="S434" s="3">
        <v>0</v>
      </c>
      <c r="T434" s="3" t="s">
        <v>1349</v>
      </c>
      <c r="U434" s="3"/>
      <c r="V434" s="4"/>
    </row>
    <row r="435" spans="1:22" x14ac:dyDescent="0.2">
      <c r="A435" s="20" t="s">
        <v>523</v>
      </c>
      <c r="B435" s="20">
        <v>3416</v>
      </c>
      <c r="C435" s="21" t="s">
        <v>1</v>
      </c>
      <c r="D435" s="21" t="s">
        <v>2</v>
      </c>
      <c r="E435" s="21" t="s">
        <v>90</v>
      </c>
      <c r="F435" s="21" t="s">
        <v>94</v>
      </c>
      <c r="G435" s="21" t="s">
        <v>1778</v>
      </c>
      <c r="H435" s="22" t="str" cm="1">
        <f t="array" ref="H435">Reverse2_6(O435)</f>
        <v>00-010201</v>
      </c>
      <c r="I435" s="45" cm="1">
        <f t="array" ref="I435">HEX2DEC(Reverse(P435))</f>
        <v>93631153</v>
      </c>
      <c r="J435" s="45" cm="1">
        <f t="array" ref="J435">IF(Q435&lt;&gt;0, HEX2DEC(Reverse(Q435))-$I435,"")</f>
        <v>23</v>
      </c>
      <c r="K435" s="45" cm="1">
        <f t="array" ref="K435">IF(R435&lt;&gt;0, HEX2DEC(Reverse(R435))-$I435,"")</f>
        <v>189</v>
      </c>
      <c r="L435" s="45" t="str" cm="1">
        <f t="array" ref="L435">IF(S435&lt;&gt;0, HEX2DEC(Reverse(S435))-$I435,"")</f>
        <v/>
      </c>
      <c r="M435" s="45" cm="1">
        <f t="array" ref="M435">IF(T435&lt;&gt;0, HEX2DEC(Reverse(T435))-$I435,"")</f>
        <v>190</v>
      </c>
      <c r="O435" s="3">
        <v>1020100</v>
      </c>
      <c r="P435" s="3" t="s">
        <v>114</v>
      </c>
      <c r="Q435" s="3" t="s">
        <v>903</v>
      </c>
      <c r="R435" s="3" t="s">
        <v>1349</v>
      </c>
      <c r="S435" s="3">
        <v>0</v>
      </c>
      <c r="T435" s="3" t="s">
        <v>1351</v>
      </c>
      <c r="U435" s="3"/>
      <c r="V435" s="4"/>
    </row>
    <row r="436" spans="1:22" x14ac:dyDescent="0.2">
      <c r="A436" s="16" t="s">
        <v>524</v>
      </c>
      <c r="B436" s="16">
        <v>3419</v>
      </c>
      <c r="C436" s="15" t="s">
        <v>2</v>
      </c>
      <c r="D436" s="15" t="s">
        <v>1</v>
      </c>
      <c r="E436" s="15" t="s">
        <v>92</v>
      </c>
      <c r="F436" s="15" t="s">
        <v>96</v>
      </c>
      <c r="G436" s="15"/>
      <c r="H436" s="17" t="str" cm="1">
        <f t="array" ref="H436">Reverse2_6(O436)</f>
        <v>00-010101</v>
      </c>
      <c r="I436" s="18" cm="1">
        <f t="array" ref="I436">HEX2DEC(Reverse(P436))</f>
        <v>93631153</v>
      </c>
      <c r="J436" s="18" cm="1">
        <f t="array" ref="J436">IF(Q436&lt;&gt;0, HEX2DEC(Reverse(Q436))-$I436,"")</f>
        <v>190</v>
      </c>
      <c r="K436" s="18" cm="1">
        <f t="array" ref="K436">IF(R436&lt;&gt;0, HEX2DEC(Reverse(R436))-$I436,"")</f>
        <v>23</v>
      </c>
      <c r="L436" s="18" cm="1">
        <f t="array" ref="L436">IF(S436&lt;&gt;0, HEX2DEC(Reverse(S436))-$I436,"")</f>
        <v>191</v>
      </c>
      <c r="M436" s="18" cm="1">
        <f t="array" ref="M436">IF(T436&lt;&gt;0, HEX2DEC(Reverse(T436))-$I436,"")</f>
        <v>24</v>
      </c>
      <c r="O436" s="3">
        <v>1010100</v>
      </c>
      <c r="P436" s="3" t="s">
        <v>114</v>
      </c>
      <c r="Q436" s="3" t="s">
        <v>1351</v>
      </c>
      <c r="R436" s="31" t="s">
        <v>903</v>
      </c>
      <c r="S436" s="3" t="s">
        <v>1354</v>
      </c>
      <c r="T436" s="3" t="s">
        <v>905</v>
      </c>
      <c r="U436" s="3">
        <v>31313131</v>
      </c>
      <c r="V436" s="4" t="s">
        <v>141</v>
      </c>
    </row>
    <row r="437" spans="1:22" x14ac:dyDescent="0.2">
      <c r="A437" s="20" t="s">
        <v>525</v>
      </c>
      <c r="B437" s="20">
        <v>3420</v>
      </c>
      <c r="C437" s="21" t="s">
        <v>1</v>
      </c>
      <c r="D437" s="21" t="s">
        <v>2</v>
      </c>
      <c r="E437" s="21" t="s">
        <v>90</v>
      </c>
      <c r="F437" s="21" t="s">
        <v>94</v>
      </c>
      <c r="G437" s="21" t="s">
        <v>1778</v>
      </c>
      <c r="H437" s="22" t="str" cm="1">
        <f t="array" ref="H437">Reverse2_6(O437)</f>
        <v>00-010201</v>
      </c>
      <c r="I437" s="45" cm="1">
        <f t="array" ref="I437">HEX2DEC(Reverse(P437))</f>
        <v>93631153</v>
      </c>
      <c r="J437" s="45" cm="1">
        <f t="array" ref="J437">IF(Q437&lt;&gt;0, HEX2DEC(Reverse(Q437))-$I437,"")</f>
        <v>23</v>
      </c>
      <c r="K437" s="45" cm="1">
        <f t="array" ref="K437">IF(R437&lt;&gt;0, HEX2DEC(Reverse(R437))-$I437,"")</f>
        <v>190</v>
      </c>
      <c r="L437" s="45" t="str" cm="1">
        <f t="array" ref="L437">IF(S437&lt;&gt;0, HEX2DEC(Reverse(S437))-$I437,"")</f>
        <v/>
      </c>
      <c r="M437" s="45" cm="1">
        <f t="array" ref="M437">IF(T437&lt;&gt;0, HEX2DEC(Reverse(T437))-$I437,"")</f>
        <v>191</v>
      </c>
      <c r="O437" s="3">
        <v>1020100</v>
      </c>
      <c r="P437" s="3" t="s">
        <v>114</v>
      </c>
      <c r="Q437" s="3" t="s">
        <v>903</v>
      </c>
      <c r="R437" s="3" t="s">
        <v>1351</v>
      </c>
      <c r="S437" s="3">
        <v>0</v>
      </c>
      <c r="T437" s="3" t="s">
        <v>1354</v>
      </c>
      <c r="U437" s="3"/>
      <c r="V437" s="4"/>
    </row>
    <row r="438" spans="1:22" x14ac:dyDescent="0.2">
      <c r="A438" s="16" t="s">
        <v>526</v>
      </c>
      <c r="B438" s="16">
        <v>3423</v>
      </c>
      <c r="C438" s="15" t="s">
        <v>2</v>
      </c>
      <c r="D438" s="15" t="s">
        <v>1</v>
      </c>
      <c r="E438" s="15" t="s">
        <v>92</v>
      </c>
      <c r="F438" s="15" t="s">
        <v>96</v>
      </c>
      <c r="G438" s="15"/>
      <c r="H438" s="17" t="str" cm="1">
        <f t="array" ref="H438">Reverse2_6(O438)</f>
        <v>00-010101</v>
      </c>
      <c r="I438" s="18" cm="1">
        <f t="array" ref="I438">HEX2DEC(Reverse(P438))</f>
        <v>93631153</v>
      </c>
      <c r="J438" s="18" cm="1">
        <f t="array" ref="J438">IF(Q438&lt;&gt;0, HEX2DEC(Reverse(Q438))-$I438,"")</f>
        <v>191</v>
      </c>
      <c r="K438" s="18" cm="1">
        <f t="array" ref="K438">IF(R438&lt;&gt;0, HEX2DEC(Reverse(R438))-$I438,"")</f>
        <v>23</v>
      </c>
      <c r="L438" s="18" cm="1">
        <f t="array" ref="L438">IF(S438&lt;&gt;0, HEX2DEC(Reverse(S438))-$I438,"")</f>
        <v>192</v>
      </c>
      <c r="M438" s="18" cm="1">
        <f t="array" ref="M438">IF(T438&lt;&gt;0, HEX2DEC(Reverse(T438))-$I438,"")</f>
        <v>24</v>
      </c>
      <c r="O438" s="3">
        <v>1010100</v>
      </c>
      <c r="P438" s="3" t="s">
        <v>114</v>
      </c>
      <c r="Q438" s="3" t="s">
        <v>1354</v>
      </c>
      <c r="R438" s="31" t="s">
        <v>903</v>
      </c>
      <c r="S438" s="3" t="s">
        <v>1355</v>
      </c>
      <c r="T438" s="3" t="s">
        <v>905</v>
      </c>
      <c r="U438" s="3" t="s">
        <v>143</v>
      </c>
      <c r="V438" s="4" t="s">
        <v>144</v>
      </c>
    </row>
    <row r="439" spans="1:22" x14ac:dyDescent="0.2">
      <c r="A439" s="16" t="s">
        <v>527</v>
      </c>
      <c r="B439" s="16">
        <v>3424</v>
      </c>
      <c r="C439" s="15" t="s">
        <v>2</v>
      </c>
      <c r="D439" s="15" t="s">
        <v>1</v>
      </c>
      <c r="E439" s="15" t="s">
        <v>92</v>
      </c>
      <c r="F439" s="15" t="s">
        <v>96</v>
      </c>
      <c r="G439" s="15"/>
      <c r="H439" s="17" t="str" cm="1">
        <f t="array" ref="H439">Reverse2_6(O439)</f>
        <v>00-010101</v>
      </c>
      <c r="I439" s="18" cm="1">
        <f t="array" ref="I439">HEX2DEC(Reverse(P439))</f>
        <v>93631153</v>
      </c>
      <c r="J439" s="18" cm="1">
        <f t="array" ref="J439">IF(Q439&lt;&gt;0, HEX2DEC(Reverse(Q439))-$I439,"")</f>
        <v>192</v>
      </c>
      <c r="K439" s="18" cm="1">
        <f t="array" ref="K439">IF(R439&lt;&gt;0, HEX2DEC(Reverse(R439))-$I439,"")</f>
        <v>23</v>
      </c>
      <c r="L439" s="18" cm="1">
        <f t="array" ref="L439">IF(S439&lt;&gt;0, HEX2DEC(Reverse(S439))-$I439,"")</f>
        <v>193</v>
      </c>
      <c r="M439" s="18" cm="1">
        <f t="array" ref="M439">IF(T439&lt;&gt;0, HEX2DEC(Reverse(T439))-$I439,"")</f>
        <v>24</v>
      </c>
      <c r="O439" s="3">
        <v>1010100</v>
      </c>
      <c r="P439" s="3" t="s">
        <v>114</v>
      </c>
      <c r="Q439" s="3" t="s">
        <v>1355</v>
      </c>
      <c r="R439" s="31" t="s">
        <v>903</v>
      </c>
      <c r="S439" s="3" t="s">
        <v>1356</v>
      </c>
      <c r="T439" s="3" t="s">
        <v>905</v>
      </c>
      <c r="U439" s="3" t="s">
        <v>1357</v>
      </c>
      <c r="V439" s="4" t="s">
        <v>1358</v>
      </c>
    </row>
    <row r="440" spans="1:22" x14ac:dyDescent="0.2">
      <c r="A440" s="16" t="s">
        <v>528</v>
      </c>
      <c r="B440" s="16">
        <v>3425</v>
      </c>
      <c r="C440" s="15" t="s">
        <v>2</v>
      </c>
      <c r="D440" s="15" t="s">
        <v>1</v>
      </c>
      <c r="E440" s="15" t="s">
        <v>92</v>
      </c>
      <c r="F440" s="15" t="s">
        <v>875</v>
      </c>
      <c r="G440" s="15"/>
      <c r="H440" s="17" t="str" cm="1">
        <f t="array" ref="H440">Reverse2_6(O440)</f>
        <v>00-010101</v>
      </c>
      <c r="I440" s="18" cm="1">
        <f t="array" ref="I440">HEX2DEC(Reverse(P440))</f>
        <v>93631153</v>
      </c>
      <c r="J440" s="18" cm="1">
        <f t="array" ref="J440">IF(Q440&lt;&gt;0, HEX2DEC(Reverse(Q440))-$I440,"")</f>
        <v>193</v>
      </c>
      <c r="K440" s="18" cm="1">
        <f t="array" ref="K440">IF(R440&lt;&gt;0, HEX2DEC(Reverse(R440))-$I440,"")</f>
        <v>23</v>
      </c>
      <c r="L440" s="18" cm="1">
        <f t="array" ref="L440">IF(S440&lt;&gt;0, HEX2DEC(Reverse(S440))-$I440,"")</f>
        <v>194</v>
      </c>
      <c r="M440" s="18" cm="1">
        <f t="array" ref="M440">IF(T440&lt;&gt;0, HEX2DEC(Reverse(T440))-$I440,"")</f>
        <v>24</v>
      </c>
      <c r="O440" s="3">
        <v>1010100</v>
      </c>
      <c r="P440" s="3" t="s">
        <v>114</v>
      </c>
      <c r="Q440" s="3" t="s">
        <v>1356</v>
      </c>
      <c r="R440" s="31" t="s">
        <v>903</v>
      </c>
      <c r="S440" s="3" t="s">
        <v>1359</v>
      </c>
      <c r="T440" s="3" t="s">
        <v>905</v>
      </c>
      <c r="U440" s="3" t="s">
        <v>1360</v>
      </c>
      <c r="V440" s="4" t="s">
        <v>1361</v>
      </c>
    </row>
    <row r="441" spans="1:22" x14ac:dyDescent="0.2">
      <c r="A441" s="20" t="s">
        <v>529</v>
      </c>
      <c r="B441" s="20">
        <v>3428</v>
      </c>
      <c r="C441" s="21" t="s">
        <v>1</v>
      </c>
      <c r="D441" s="21" t="s">
        <v>2</v>
      </c>
      <c r="E441" s="21" t="s">
        <v>90</v>
      </c>
      <c r="F441" s="21" t="s">
        <v>94</v>
      </c>
      <c r="G441" s="21" t="s">
        <v>1778</v>
      </c>
      <c r="H441" s="22" t="str" cm="1">
        <f t="array" ref="H441">Reverse2_6(O441)</f>
        <v>00-010201</v>
      </c>
      <c r="I441" s="45" cm="1">
        <f t="array" ref="I441">HEX2DEC(Reverse(P441))</f>
        <v>93631153</v>
      </c>
      <c r="J441" s="45" cm="1">
        <f t="array" ref="J441">IF(Q441&lt;&gt;0, HEX2DEC(Reverse(Q441))-$I441,"")</f>
        <v>23</v>
      </c>
      <c r="K441" s="45" cm="1">
        <f t="array" ref="K441">IF(R441&lt;&gt;0, HEX2DEC(Reverse(R441))-$I441,"")</f>
        <v>191</v>
      </c>
      <c r="L441" s="45" t="str" cm="1">
        <f t="array" ref="L441">IF(S441&lt;&gt;0, HEX2DEC(Reverse(S441))-$I441,"")</f>
        <v/>
      </c>
      <c r="M441" s="45" cm="1">
        <f t="array" ref="M441">IF(T441&lt;&gt;0, HEX2DEC(Reverse(T441))-$I441,"")</f>
        <v>192</v>
      </c>
      <c r="O441" s="3">
        <v>1020100</v>
      </c>
      <c r="P441" s="3" t="s">
        <v>114</v>
      </c>
      <c r="Q441" s="3" t="s">
        <v>903</v>
      </c>
      <c r="R441" s="3" t="s">
        <v>1354</v>
      </c>
      <c r="S441" s="3">
        <v>0</v>
      </c>
      <c r="T441" s="3" t="s">
        <v>1355</v>
      </c>
      <c r="U441" s="3"/>
      <c r="V441" s="4"/>
    </row>
    <row r="442" spans="1:22" x14ac:dyDescent="0.2">
      <c r="A442" s="20" t="s">
        <v>530</v>
      </c>
      <c r="B442" s="20">
        <v>3429</v>
      </c>
      <c r="C442" s="21" t="s">
        <v>1</v>
      </c>
      <c r="D442" s="21" t="s">
        <v>2</v>
      </c>
      <c r="E442" s="21" t="s">
        <v>90</v>
      </c>
      <c r="F442" s="21" t="s">
        <v>94</v>
      </c>
      <c r="G442" s="21" t="s">
        <v>1778</v>
      </c>
      <c r="H442" s="22" t="str" cm="1">
        <f t="array" ref="H442">Reverse2_6(O442)</f>
        <v>00-010201</v>
      </c>
      <c r="I442" s="45" cm="1">
        <f t="array" ref="I442">HEX2DEC(Reverse(P442))</f>
        <v>93631153</v>
      </c>
      <c r="J442" s="45" cm="1">
        <f t="array" ref="J442">IF(Q442&lt;&gt;0, HEX2DEC(Reverse(Q442))-$I442,"")</f>
        <v>23</v>
      </c>
      <c r="K442" s="45" cm="1">
        <f t="array" ref="K442">IF(R442&lt;&gt;0, HEX2DEC(Reverse(R442))-$I442,"")</f>
        <v>192</v>
      </c>
      <c r="L442" s="45" t="str" cm="1">
        <f t="array" ref="L442">IF(S442&lt;&gt;0, HEX2DEC(Reverse(S442))-$I442,"")</f>
        <v/>
      </c>
      <c r="M442" s="45" cm="1">
        <f t="array" ref="M442">IF(T442&lt;&gt;0, HEX2DEC(Reverse(T442))-$I442,"")</f>
        <v>193</v>
      </c>
      <c r="O442" s="3">
        <v>1020100</v>
      </c>
      <c r="P442" s="3" t="s">
        <v>114</v>
      </c>
      <c r="Q442" s="3" t="s">
        <v>903</v>
      </c>
      <c r="R442" s="3" t="s">
        <v>1355</v>
      </c>
      <c r="S442" s="3">
        <v>0</v>
      </c>
      <c r="T442" s="3" t="s">
        <v>1356</v>
      </c>
      <c r="U442" s="3"/>
      <c r="V442" s="4"/>
    </row>
    <row r="443" spans="1:22" x14ac:dyDescent="0.2">
      <c r="A443" s="20" t="s">
        <v>531</v>
      </c>
      <c r="B443" s="20">
        <v>3430</v>
      </c>
      <c r="C443" s="21" t="s">
        <v>1</v>
      </c>
      <c r="D443" s="21" t="s">
        <v>2</v>
      </c>
      <c r="E443" s="21" t="s">
        <v>90</v>
      </c>
      <c r="F443" s="21" t="s">
        <v>94</v>
      </c>
      <c r="G443" s="21" t="s">
        <v>1778</v>
      </c>
      <c r="H443" s="22" t="str" cm="1">
        <f t="array" ref="H443">Reverse2_6(O443)</f>
        <v>00-010201</v>
      </c>
      <c r="I443" s="45" cm="1">
        <f t="array" ref="I443">HEX2DEC(Reverse(P443))</f>
        <v>93631153</v>
      </c>
      <c r="J443" s="45" cm="1">
        <f t="array" ref="J443">IF(Q443&lt;&gt;0, HEX2DEC(Reverse(Q443))-$I443,"")</f>
        <v>23</v>
      </c>
      <c r="K443" s="45" cm="1">
        <f t="array" ref="K443">IF(R443&lt;&gt;0, HEX2DEC(Reverse(R443))-$I443,"")</f>
        <v>193</v>
      </c>
      <c r="L443" s="45" t="str" cm="1">
        <f t="array" ref="L443">IF(S443&lt;&gt;0, HEX2DEC(Reverse(S443))-$I443,"")</f>
        <v/>
      </c>
      <c r="M443" s="45" cm="1">
        <f t="array" ref="M443">IF(T443&lt;&gt;0, HEX2DEC(Reverse(T443))-$I443,"")</f>
        <v>194</v>
      </c>
      <c r="O443" s="3">
        <v>1020100</v>
      </c>
      <c r="P443" s="3" t="s">
        <v>114</v>
      </c>
      <c r="Q443" s="3" t="s">
        <v>903</v>
      </c>
      <c r="R443" s="3" t="s">
        <v>1356</v>
      </c>
      <c r="S443" s="3">
        <v>0</v>
      </c>
      <c r="T443" s="3" t="s">
        <v>1359</v>
      </c>
      <c r="U443" s="3"/>
      <c r="V443" s="4"/>
    </row>
    <row r="444" spans="1:22" x14ac:dyDescent="0.2">
      <c r="A444" s="16" t="s">
        <v>532</v>
      </c>
      <c r="B444" s="16">
        <v>3442</v>
      </c>
      <c r="C444" s="15" t="s">
        <v>2</v>
      </c>
      <c r="D444" s="15" t="s">
        <v>1</v>
      </c>
      <c r="E444" s="15" t="s">
        <v>92</v>
      </c>
      <c r="F444" s="15" t="s">
        <v>96</v>
      </c>
      <c r="G444" s="15"/>
      <c r="H444" s="17" t="str" cm="1">
        <f t="array" ref="H444">Reverse2_6(O444)</f>
        <v>00-010101</v>
      </c>
      <c r="I444" s="18" cm="1">
        <f t="array" ref="I444">HEX2DEC(Reverse(P444))</f>
        <v>93631153</v>
      </c>
      <c r="J444" s="18" cm="1">
        <f t="array" ref="J444">IF(Q444&lt;&gt;0, HEX2DEC(Reverse(Q444))-$I444,"")</f>
        <v>194</v>
      </c>
      <c r="K444" s="18" cm="1">
        <f t="array" ref="K444">IF(R444&lt;&gt;0, HEX2DEC(Reverse(R444))-$I444,"")</f>
        <v>23</v>
      </c>
      <c r="L444" s="18" cm="1">
        <f t="array" ref="L444">IF(S444&lt;&gt;0, HEX2DEC(Reverse(S444))-$I444,"")</f>
        <v>195</v>
      </c>
      <c r="M444" s="18" cm="1">
        <f t="array" ref="M444">IF(T444&lt;&gt;0, HEX2DEC(Reverse(T444))-$I444,"")</f>
        <v>24</v>
      </c>
      <c r="O444" s="3">
        <v>1010100</v>
      </c>
      <c r="P444" s="3" t="s">
        <v>114</v>
      </c>
      <c r="Q444" s="3" t="s">
        <v>1359</v>
      </c>
      <c r="R444" s="31" t="s">
        <v>903</v>
      </c>
      <c r="S444" s="3" t="s">
        <v>1362</v>
      </c>
      <c r="T444" s="3" t="s">
        <v>905</v>
      </c>
      <c r="U444" s="3">
        <v>31313131</v>
      </c>
      <c r="V444" s="4" t="s">
        <v>1363</v>
      </c>
    </row>
    <row r="445" spans="1:22" x14ac:dyDescent="0.2">
      <c r="A445" s="16" t="s">
        <v>533</v>
      </c>
      <c r="B445" s="16">
        <v>3443</v>
      </c>
      <c r="C445" s="15" t="s">
        <v>2</v>
      </c>
      <c r="D445" s="15" t="s">
        <v>1</v>
      </c>
      <c r="E445" s="15" t="s">
        <v>92</v>
      </c>
      <c r="F445" s="15" t="s">
        <v>876</v>
      </c>
      <c r="G445" s="15"/>
      <c r="H445" s="17" t="str" cm="1">
        <f t="array" ref="H445">Reverse2_6(O445)</f>
        <v>00-010101</v>
      </c>
      <c r="I445" s="18" cm="1">
        <f t="array" ref="I445">HEX2DEC(Reverse(P445))</f>
        <v>93631153</v>
      </c>
      <c r="J445" s="18" cm="1">
        <f t="array" ref="J445">IF(Q445&lt;&gt;0, HEX2DEC(Reverse(Q445))-$I445,"")</f>
        <v>195</v>
      </c>
      <c r="K445" s="18" cm="1">
        <f t="array" ref="K445">IF(R445&lt;&gt;0, HEX2DEC(Reverse(R445))-$I445,"")</f>
        <v>23</v>
      </c>
      <c r="L445" s="18" cm="1">
        <f t="array" ref="L445">IF(S445&lt;&gt;0, HEX2DEC(Reverse(S445))-$I445,"")</f>
        <v>196</v>
      </c>
      <c r="M445" s="18" cm="1">
        <f t="array" ref="M445">IF(T445&lt;&gt;0, HEX2DEC(Reverse(T445))-$I445,"")</f>
        <v>24</v>
      </c>
      <c r="O445" s="3">
        <v>1010100</v>
      </c>
      <c r="P445" s="3" t="s">
        <v>114</v>
      </c>
      <c r="Q445" s="3" t="s">
        <v>1362</v>
      </c>
      <c r="R445" s="31" t="s">
        <v>903</v>
      </c>
      <c r="S445" s="3" t="s">
        <v>1364</v>
      </c>
      <c r="T445" s="3" t="s">
        <v>905</v>
      </c>
      <c r="U445" s="3" t="s">
        <v>1365</v>
      </c>
      <c r="V445" s="4" t="s">
        <v>1366</v>
      </c>
    </row>
    <row r="446" spans="1:22" x14ac:dyDescent="0.2">
      <c r="A446" s="20" t="s">
        <v>534</v>
      </c>
      <c r="B446" s="20">
        <v>3444</v>
      </c>
      <c r="C446" s="21" t="s">
        <v>1</v>
      </c>
      <c r="D446" s="21" t="s">
        <v>2</v>
      </c>
      <c r="E446" s="21" t="s">
        <v>90</v>
      </c>
      <c r="F446" s="21" t="s">
        <v>94</v>
      </c>
      <c r="G446" s="21" t="s">
        <v>1778</v>
      </c>
      <c r="H446" s="22" t="str" cm="1">
        <f t="array" ref="H446">Reverse2_6(O446)</f>
        <v>00-010201</v>
      </c>
      <c r="I446" s="45" cm="1">
        <f t="array" ref="I446">HEX2DEC(Reverse(P446))</f>
        <v>93631153</v>
      </c>
      <c r="J446" s="45" cm="1">
        <f t="array" ref="J446">IF(Q446&lt;&gt;0, HEX2DEC(Reverse(Q446))-$I446,"")</f>
        <v>23</v>
      </c>
      <c r="K446" s="45" cm="1">
        <f t="array" ref="K446">IF(R446&lt;&gt;0, HEX2DEC(Reverse(R446))-$I446,"")</f>
        <v>194</v>
      </c>
      <c r="L446" s="45" t="str" cm="1">
        <f t="array" ref="L446">IF(S446&lt;&gt;0, HEX2DEC(Reverse(S446))-$I446,"")</f>
        <v/>
      </c>
      <c r="M446" s="45" cm="1">
        <f t="array" ref="M446">IF(T446&lt;&gt;0, HEX2DEC(Reverse(T446))-$I446,"")</f>
        <v>195</v>
      </c>
      <c r="O446" s="3">
        <v>1020100</v>
      </c>
      <c r="P446" s="3" t="s">
        <v>114</v>
      </c>
      <c r="Q446" s="3" t="s">
        <v>903</v>
      </c>
      <c r="R446" s="3" t="s">
        <v>1359</v>
      </c>
      <c r="S446" s="3">
        <v>0</v>
      </c>
      <c r="T446" s="3" t="s">
        <v>1362</v>
      </c>
      <c r="U446" s="3"/>
      <c r="V446" s="4"/>
    </row>
    <row r="447" spans="1:22" x14ac:dyDescent="0.2">
      <c r="A447" s="20" t="s">
        <v>535</v>
      </c>
      <c r="B447" s="20">
        <v>3445</v>
      </c>
      <c r="C447" s="21" t="s">
        <v>1</v>
      </c>
      <c r="D447" s="21" t="s">
        <v>2</v>
      </c>
      <c r="E447" s="21" t="s">
        <v>90</v>
      </c>
      <c r="F447" s="21" t="s">
        <v>94</v>
      </c>
      <c r="G447" s="21" t="s">
        <v>1778</v>
      </c>
      <c r="H447" s="22" t="str" cm="1">
        <f t="array" ref="H447">Reverse2_6(O447)</f>
        <v>00-010201</v>
      </c>
      <c r="I447" s="45" cm="1">
        <f t="array" ref="I447">HEX2DEC(Reverse(P447))</f>
        <v>93631153</v>
      </c>
      <c r="J447" s="45" cm="1">
        <f t="array" ref="J447">IF(Q447&lt;&gt;0, HEX2DEC(Reverse(Q447))-$I447,"")</f>
        <v>23</v>
      </c>
      <c r="K447" s="45" cm="1">
        <f t="array" ref="K447">IF(R447&lt;&gt;0, HEX2DEC(Reverse(R447))-$I447,"")</f>
        <v>195</v>
      </c>
      <c r="L447" s="45" t="str" cm="1">
        <f t="array" ref="L447">IF(S447&lt;&gt;0, HEX2DEC(Reverse(S447))-$I447,"")</f>
        <v/>
      </c>
      <c r="M447" s="45" cm="1">
        <f t="array" ref="M447">IF(T447&lt;&gt;0, HEX2DEC(Reverse(T447))-$I447,"")</f>
        <v>196</v>
      </c>
      <c r="O447" s="3">
        <v>1020100</v>
      </c>
      <c r="P447" s="3" t="s">
        <v>114</v>
      </c>
      <c r="Q447" s="3" t="s">
        <v>903</v>
      </c>
      <c r="R447" s="3" t="s">
        <v>1362</v>
      </c>
      <c r="S447" s="3">
        <v>0</v>
      </c>
      <c r="T447" s="3" t="s">
        <v>1364</v>
      </c>
      <c r="U447" s="3"/>
      <c r="V447" s="4"/>
    </row>
    <row r="448" spans="1:22" x14ac:dyDescent="0.2">
      <c r="A448" s="16" t="s">
        <v>536</v>
      </c>
      <c r="B448" s="16">
        <v>3446</v>
      </c>
      <c r="C448" s="15" t="s">
        <v>2</v>
      </c>
      <c r="D448" s="15" t="s">
        <v>1</v>
      </c>
      <c r="E448" s="15" t="s">
        <v>92</v>
      </c>
      <c r="F448" s="15" t="s">
        <v>96</v>
      </c>
      <c r="G448" s="15"/>
      <c r="H448" s="17" t="str" cm="1">
        <f t="array" ref="H448">Reverse2_6(O448)</f>
        <v>00-010101</v>
      </c>
      <c r="I448" s="18" cm="1">
        <f t="array" ref="I448">HEX2DEC(Reverse(P448))</f>
        <v>93631153</v>
      </c>
      <c r="J448" s="18" cm="1">
        <f t="array" ref="J448">IF(Q448&lt;&gt;0, HEX2DEC(Reverse(Q448))-$I448,"")</f>
        <v>196</v>
      </c>
      <c r="K448" s="18" cm="1">
        <f t="array" ref="K448">IF(R448&lt;&gt;0, HEX2DEC(Reverse(R448))-$I448,"")</f>
        <v>23</v>
      </c>
      <c r="L448" s="18" cm="1">
        <f t="array" ref="L448">IF(S448&lt;&gt;0, HEX2DEC(Reverse(S448))-$I448,"")</f>
        <v>197</v>
      </c>
      <c r="M448" s="18" cm="1">
        <f t="array" ref="M448">IF(T448&lt;&gt;0, HEX2DEC(Reverse(T448))-$I448,"")</f>
        <v>24</v>
      </c>
      <c r="O448" s="3">
        <v>1010100</v>
      </c>
      <c r="P448" s="3" t="s">
        <v>114</v>
      </c>
      <c r="Q448" s="3" t="s">
        <v>1364</v>
      </c>
      <c r="R448" s="31" t="s">
        <v>903</v>
      </c>
      <c r="S448" s="3" t="s">
        <v>1367</v>
      </c>
      <c r="T448" s="3" t="s">
        <v>905</v>
      </c>
      <c r="U448" s="3">
        <v>31313131</v>
      </c>
      <c r="V448" s="4" t="s">
        <v>1368</v>
      </c>
    </row>
    <row r="449" spans="1:22" x14ac:dyDescent="0.2">
      <c r="A449" s="16" t="s">
        <v>537</v>
      </c>
      <c r="B449" s="16">
        <v>3447</v>
      </c>
      <c r="C449" s="15" t="s">
        <v>2</v>
      </c>
      <c r="D449" s="15" t="s">
        <v>1</v>
      </c>
      <c r="E449" s="15" t="s">
        <v>92</v>
      </c>
      <c r="F449" s="15" t="s">
        <v>877</v>
      </c>
      <c r="G449" s="15"/>
      <c r="H449" s="17" t="str" cm="1">
        <f t="array" ref="H449">Reverse2_6(O449)</f>
        <v>00-010101</v>
      </c>
      <c r="I449" s="18" cm="1">
        <f t="array" ref="I449">HEX2DEC(Reverse(P449))</f>
        <v>93631153</v>
      </c>
      <c r="J449" s="18" cm="1">
        <f t="array" ref="J449">IF(Q449&lt;&gt;0, HEX2DEC(Reverse(Q449))-$I449,"")</f>
        <v>197</v>
      </c>
      <c r="K449" s="18" cm="1">
        <f t="array" ref="K449">IF(R449&lt;&gt;0, HEX2DEC(Reverse(R449))-$I449,"")</f>
        <v>23</v>
      </c>
      <c r="L449" s="18" cm="1">
        <f t="array" ref="L449">IF(S449&lt;&gt;0, HEX2DEC(Reverse(S449))-$I449,"")</f>
        <v>198</v>
      </c>
      <c r="M449" s="18" cm="1">
        <f t="array" ref="M449">IF(T449&lt;&gt;0, HEX2DEC(Reverse(T449))-$I449,"")</f>
        <v>24</v>
      </c>
      <c r="O449" s="3">
        <v>1010100</v>
      </c>
      <c r="P449" s="3" t="s">
        <v>114</v>
      </c>
      <c r="Q449" s="3" t="s">
        <v>1367</v>
      </c>
      <c r="R449" s="31" t="s">
        <v>903</v>
      </c>
      <c r="S449" s="3" t="s">
        <v>1369</v>
      </c>
      <c r="T449" s="3" t="s">
        <v>905</v>
      </c>
      <c r="U449" s="3" t="s">
        <v>1370</v>
      </c>
      <c r="V449" s="4" t="s">
        <v>1371</v>
      </c>
    </row>
    <row r="450" spans="1:22" x14ac:dyDescent="0.2">
      <c r="A450" s="20" t="s">
        <v>538</v>
      </c>
      <c r="B450" s="20">
        <v>3448</v>
      </c>
      <c r="C450" s="21" t="s">
        <v>1</v>
      </c>
      <c r="D450" s="21" t="s">
        <v>2</v>
      </c>
      <c r="E450" s="21" t="s">
        <v>90</v>
      </c>
      <c r="F450" s="21" t="s">
        <v>94</v>
      </c>
      <c r="G450" s="21" t="s">
        <v>1778</v>
      </c>
      <c r="H450" s="22" t="str" cm="1">
        <f t="array" ref="H450">Reverse2_6(O450)</f>
        <v>00-010201</v>
      </c>
      <c r="I450" s="45" cm="1">
        <f t="array" ref="I450">HEX2DEC(Reverse(P450))</f>
        <v>93631153</v>
      </c>
      <c r="J450" s="45" cm="1">
        <f t="array" ref="J450">IF(Q450&lt;&gt;0, HEX2DEC(Reverse(Q450))-$I450,"")</f>
        <v>23</v>
      </c>
      <c r="K450" s="45" cm="1">
        <f t="array" ref="K450">IF(R450&lt;&gt;0, HEX2DEC(Reverse(R450))-$I450,"")</f>
        <v>196</v>
      </c>
      <c r="L450" s="45" t="str" cm="1">
        <f t="array" ref="L450">IF(S450&lt;&gt;0, HEX2DEC(Reverse(S450))-$I450,"")</f>
        <v/>
      </c>
      <c r="M450" s="45" cm="1">
        <f t="array" ref="M450">IF(T450&lt;&gt;0, HEX2DEC(Reverse(T450))-$I450,"")</f>
        <v>197</v>
      </c>
      <c r="O450" s="3">
        <v>1020100</v>
      </c>
      <c r="P450" s="3" t="s">
        <v>114</v>
      </c>
      <c r="Q450" s="3" t="s">
        <v>903</v>
      </c>
      <c r="R450" s="3" t="s">
        <v>1364</v>
      </c>
      <c r="S450" s="3">
        <v>0</v>
      </c>
      <c r="T450" s="3" t="s">
        <v>1367</v>
      </c>
      <c r="U450" s="3"/>
      <c r="V450" s="4"/>
    </row>
    <row r="451" spans="1:22" x14ac:dyDescent="0.2">
      <c r="A451" s="20" t="s">
        <v>539</v>
      </c>
      <c r="B451" s="20">
        <v>3449</v>
      </c>
      <c r="C451" s="21" t="s">
        <v>1</v>
      </c>
      <c r="D451" s="21" t="s">
        <v>2</v>
      </c>
      <c r="E451" s="21" t="s">
        <v>90</v>
      </c>
      <c r="F451" s="21" t="s">
        <v>94</v>
      </c>
      <c r="G451" s="21" t="s">
        <v>1778</v>
      </c>
      <c r="H451" s="22" t="str" cm="1">
        <f t="array" ref="H451">Reverse2_6(O451)</f>
        <v>00-010201</v>
      </c>
      <c r="I451" s="45" cm="1">
        <f t="array" ref="I451">HEX2DEC(Reverse(P451))</f>
        <v>93631153</v>
      </c>
      <c r="J451" s="45" cm="1">
        <f t="array" ref="J451">IF(Q451&lt;&gt;0, HEX2DEC(Reverse(Q451))-$I451,"")</f>
        <v>23</v>
      </c>
      <c r="K451" s="45" cm="1">
        <f t="array" ref="K451">IF(R451&lt;&gt;0, HEX2DEC(Reverse(R451))-$I451,"")</f>
        <v>197</v>
      </c>
      <c r="L451" s="45" t="str" cm="1">
        <f t="array" ref="L451">IF(S451&lt;&gt;0, HEX2DEC(Reverse(S451))-$I451,"")</f>
        <v/>
      </c>
      <c r="M451" s="45" cm="1">
        <f t="array" ref="M451">IF(T451&lt;&gt;0, HEX2DEC(Reverse(T451))-$I451,"")</f>
        <v>198</v>
      </c>
      <c r="O451" s="3">
        <v>1020100</v>
      </c>
      <c r="P451" s="3" t="s">
        <v>114</v>
      </c>
      <c r="Q451" s="3" t="s">
        <v>903</v>
      </c>
      <c r="R451" s="3" t="s">
        <v>1367</v>
      </c>
      <c r="S451" s="3">
        <v>0</v>
      </c>
      <c r="T451" s="3" t="s">
        <v>1369</v>
      </c>
      <c r="U451" s="3"/>
      <c r="V451" s="4"/>
    </row>
    <row r="452" spans="1:22" x14ac:dyDescent="0.2">
      <c r="A452" s="46" t="s">
        <v>540</v>
      </c>
      <c r="B452" s="46">
        <v>3452</v>
      </c>
      <c r="C452" s="36" t="s">
        <v>1</v>
      </c>
      <c r="D452" s="36" t="s">
        <v>2</v>
      </c>
      <c r="E452" s="36" t="s">
        <v>90</v>
      </c>
      <c r="F452" s="36" t="s">
        <v>110</v>
      </c>
      <c r="G452" s="36" t="s">
        <v>1753</v>
      </c>
      <c r="H452" s="35" t="str" cm="1">
        <f t="array" ref="H452">Reverse2_6(O452)</f>
        <v>00-010101</v>
      </c>
      <c r="I452" s="44" cm="1">
        <f t="array" ref="I452">HEX2DEC(Reverse(P452))</f>
        <v>93631153</v>
      </c>
      <c r="J452" s="44" cm="1">
        <f t="array" ref="J452">IF(Q452&lt;&gt;0, HEX2DEC(Reverse(Q452))-$I452,"")</f>
        <v>24</v>
      </c>
      <c r="K452" s="44" cm="1">
        <f t="array" ref="K452">IF(R452&lt;&gt;0, HEX2DEC(Reverse(R452))-$I452,"")</f>
        <v>197</v>
      </c>
      <c r="L452" s="44" cm="1">
        <f t="array" ref="L452">IF(S452&lt;&gt;0, HEX2DEC(Reverse(S452))-$I452,"")</f>
        <v>25</v>
      </c>
      <c r="M452" s="44" cm="1">
        <f t="array" ref="M452">IF(T452&lt;&gt;0, HEX2DEC(Reverse(T452))-$I452,"")</f>
        <v>198</v>
      </c>
      <c r="O452" s="3">
        <v>1010100</v>
      </c>
      <c r="P452" s="3" t="s">
        <v>114</v>
      </c>
      <c r="Q452" s="3" t="s">
        <v>905</v>
      </c>
      <c r="R452" s="3" t="s">
        <v>1367</v>
      </c>
      <c r="S452" s="32" t="s">
        <v>908</v>
      </c>
      <c r="T452" s="3" t="s">
        <v>1369</v>
      </c>
      <c r="U452" s="3">
        <v>31313131</v>
      </c>
      <c r="V452" s="4" t="s">
        <v>145</v>
      </c>
    </row>
    <row r="453" spans="1:22" x14ac:dyDescent="0.2">
      <c r="A453" s="46" t="s">
        <v>541</v>
      </c>
      <c r="B453" s="46">
        <v>3453</v>
      </c>
      <c r="C453" s="36" t="s">
        <v>1</v>
      </c>
      <c r="D453" s="36" t="s">
        <v>2</v>
      </c>
      <c r="E453" s="36" t="s">
        <v>90</v>
      </c>
      <c r="F453" s="36" t="s">
        <v>106</v>
      </c>
      <c r="G453" s="36"/>
      <c r="H453" s="35" t="str" cm="1">
        <f t="array" ref="H453">Reverse2_6(O453)</f>
        <v>00-010101</v>
      </c>
      <c r="I453" s="44" cm="1">
        <f t="array" ref="I453">HEX2DEC(Reverse(P453))</f>
        <v>93631153</v>
      </c>
      <c r="J453" s="44" cm="1">
        <f t="array" ref="J453">IF(Q453&lt;&gt;0, HEX2DEC(Reverse(Q453))-$I453,"")</f>
        <v>25</v>
      </c>
      <c r="K453" s="44" cm="1">
        <f t="array" ref="K453">IF(R453&lt;&gt;0, HEX2DEC(Reverse(R453))-$I453,"")</f>
        <v>197</v>
      </c>
      <c r="L453" s="44" cm="1">
        <f t="array" ref="L453">IF(S453&lt;&gt;0, HEX2DEC(Reverse(S453))-$I453,"")</f>
        <v>26</v>
      </c>
      <c r="M453" s="44" cm="1">
        <f t="array" ref="M453">IF(T453&lt;&gt;0, HEX2DEC(Reverse(T453))-$I453,"")</f>
        <v>198</v>
      </c>
      <c r="O453" s="3">
        <v>1010100</v>
      </c>
      <c r="P453" s="3" t="s">
        <v>114</v>
      </c>
      <c r="Q453" s="3" t="s">
        <v>908</v>
      </c>
      <c r="R453" s="3" t="s">
        <v>1367</v>
      </c>
      <c r="S453" s="3" t="s">
        <v>911</v>
      </c>
      <c r="T453" s="3" t="s">
        <v>1369</v>
      </c>
      <c r="U453" s="3">
        <v>31313131</v>
      </c>
      <c r="V453" s="4" t="s">
        <v>135</v>
      </c>
    </row>
    <row r="454" spans="1:22" x14ac:dyDescent="0.2">
      <c r="A454" s="16" t="s">
        <v>542</v>
      </c>
      <c r="B454" s="16">
        <v>3460</v>
      </c>
      <c r="C454" s="15" t="s">
        <v>2</v>
      </c>
      <c r="D454" s="15" t="s">
        <v>1</v>
      </c>
      <c r="E454" s="15" t="s">
        <v>92</v>
      </c>
      <c r="F454" s="15" t="s">
        <v>96</v>
      </c>
      <c r="G454" s="15"/>
      <c r="H454" s="17" t="str" cm="1">
        <f t="array" ref="H454">Reverse2_6(O454)</f>
        <v>00-010101</v>
      </c>
      <c r="I454" s="18" cm="1">
        <f t="array" ref="I454">HEX2DEC(Reverse(P454))</f>
        <v>93631153</v>
      </c>
      <c r="J454" s="18" cm="1">
        <f t="array" ref="J454">IF(Q454&lt;&gt;0, HEX2DEC(Reverse(Q454))-$I454,"")</f>
        <v>198</v>
      </c>
      <c r="K454" s="18" cm="1">
        <f t="array" ref="K454">IF(R454&lt;&gt;0, HEX2DEC(Reverse(R454))-$I454,"")</f>
        <v>23</v>
      </c>
      <c r="L454" s="18" cm="1">
        <f t="array" ref="L454">IF(S454&lt;&gt;0, HEX2DEC(Reverse(S454))-$I454,"")</f>
        <v>199</v>
      </c>
      <c r="M454" s="18" cm="1">
        <f t="array" ref="M454">IF(T454&lt;&gt;0, HEX2DEC(Reverse(T454))-$I454,"")</f>
        <v>24</v>
      </c>
      <c r="O454" s="3">
        <v>1010100</v>
      </c>
      <c r="P454" s="3" t="s">
        <v>114</v>
      </c>
      <c r="Q454" s="3" t="s">
        <v>1369</v>
      </c>
      <c r="R454" s="31" t="s">
        <v>903</v>
      </c>
      <c r="S454" s="3" t="s">
        <v>1372</v>
      </c>
      <c r="T454" s="3" t="s">
        <v>905</v>
      </c>
      <c r="U454" s="3">
        <v>31313131</v>
      </c>
      <c r="V454" s="4" t="s">
        <v>1373</v>
      </c>
    </row>
    <row r="455" spans="1:22" x14ac:dyDescent="0.2">
      <c r="A455" s="16" t="s">
        <v>543</v>
      </c>
      <c r="B455" s="16">
        <v>3461</v>
      </c>
      <c r="C455" s="15" t="s">
        <v>2</v>
      </c>
      <c r="D455" s="15" t="s">
        <v>1</v>
      </c>
      <c r="E455" s="15" t="s">
        <v>92</v>
      </c>
      <c r="F455" s="15" t="s">
        <v>878</v>
      </c>
      <c r="G455" s="15"/>
      <c r="H455" s="17" t="str" cm="1">
        <f t="array" ref="H455">Reverse2_6(O455)</f>
        <v>00-010101</v>
      </c>
      <c r="I455" s="18" cm="1">
        <f t="array" ref="I455">HEX2DEC(Reverse(P455))</f>
        <v>93631153</v>
      </c>
      <c r="J455" s="18" cm="1">
        <f t="array" ref="J455">IF(Q455&lt;&gt;0, HEX2DEC(Reverse(Q455))-$I455,"")</f>
        <v>199</v>
      </c>
      <c r="K455" s="18" cm="1">
        <f t="array" ref="K455">IF(R455&lt;&gt;0, HEX2DEC(Reverse(R455))-$I455,"")</f>
        <v>23</v>
      </c>
      <c r="L455" s="18" cm="1">
        <f t="array" ref="L455">IF(S455&lt;&gt;0, HEX2DEC(Reverse(S455))-$I455,"")</f>
        <v>200</v>
      </c>
      <c r="M455" s="18" cm="1">
        <f t="array" ref="M455">IF(T455&lt;&gt;0, HEX2DEC(Reverse(T455))-$I455,"")</f>
        <v>24</v>
      </c>
      <c r="O455" s="3">
        <v>1010100</v>
      </c>
      <c r="P455" s="3" t="s">
        <v>114</v>
      </c>
      <c r="Q455" s="3" t="s">
        <v>1372</v>
      </c>
      <c r="R455" s="31" t="s">
        <v>903</v>
      </c>
      <c r="S455" s="3" t="s">
        <v>1374</v>
      </c>
      <c r="T455" s="3" t="s">
        <v>905</v>
      </c>
      <c r="U455" s="3" t="s">
        <v>1375</v>
      </c>
      <c r="V455" s="4" t="s">
        <v>1376</v>
      </c>
    </row>
    <row r="456" spans="1:22" x14ac:dyDescent="0.2">
      <c r="A456" s="20" t="s">
        <v>544</v>
      </c>
      <c r="B456" s="20">
        <v>3462</v>
      </c>
      <c r="C456" s="21" t="s">
        <v>1</v>
      </c>
      <c r="D456" s="21" t="s">
        <v>2</v>
      </c>
      <c r="E456" s="21" t="s">
        <v>90</v>
      </c>
      <c r="F456" s="21" t="s">
        <v>94</v>
      </c>
      <c r="G456" s="21" t="s">
        <v>1778</v>
      </c>
      <c r="H456" s="22" t="str" cm="1">
        <f t="array" ref="H456">Reverse2_6(O456)</f>
        <v>00-010201</v>
      </c>
      <c r="I456" s="45" cm="1">
        <f t="array" ref="I456">HEX2DEC(Reverse(P456))</f>
        <v>93631153</v>
      </c>
      <c r="J456" s="45" cm="1">
        <f t="array" ref="J456">IF(Q456&lt;&gt;0, HEX2DEC(Reverse(Q456))-$I456,"")</f>
        <v>25</v>
      </c>
      <c r="K456" s="45" cm="1">
        <f t="array" ref="K456">IF(R456&lt;&gt;0, HEX2DEC(Reverse(R456))-$I456,"")</f>
        <v>198</v>
      </c>
      <c r="L456" s="45" t="str" cm="1">
        <f t="array" ref="L456">IF(S456&lt;&gt;0, HEX2DEC(Reverse(S456))-$I456,"")</f>
        <v/>
      </c>
      <c r="M456" s="45" cm="1">
        <f t="array" ref="M456">IF(T456&lt;&gt;0, HEX2DEC(Reverse(T456))-$I456,"")</f>
        <v>199</v>
      </c>
      <c r="O456" s="3">
        <v>1020100</v>
      </c>
      <c r="P456" s="3" t="s">
        <v>114</v>
      </c>
      <c r="Q456" s="3" t="s">
        <v>908</v>
      </c>
      <c r="R456" s="3" t="s">
        <v>1369</v>
      </c>
      <c r="S456" s="3">
        <v>0</v>
      </c>
      <c r="T456" s="3" t="s">
        <v>1372</v>
      </c>
      <c r="U456" s="3"/>
      <c r="V456" s="4"/>
    </row>
    <row r="457" spans="1:22" x14ac:dyDescent="0.2">
      <c r="A457" s="20" t="s">
        <v>545</v>
      </c>
      <c r="B457" s="20">
        <v>3463</v>
      </c>
      <c r="C457" s="21" t="s">
        <v>1</v>
      </c>
      <c r="D457" s="21" t="s">
        <v>2</v>
      </c>
      <c r="E457" s="21" t="s">
        <v>90</v>
      </c>
      <c r="F457" s="21" t="s">
        <v>94</v>
      </c>
      <c r="G457" s="21" t="s">
        <v>1778</v>
      </c>
      <c r="H457" s="22" t="str" cm="1">
        <f t="array" ref="H457">Reverse2_6(O457)</f>
        <v>00-010201</v>
      </c>
      <c r="I457" s="45" cm="1">
        <f t="array" ref="I457">HEX2DEC(Reverse(P457))</f>
        <v>93631153</v>
      </c>
      <c r="J457" s="45" cm="1">
        <f t="array" ref="J457">IF(Q457&lt;&gt;0, HEX2DEC(Reverse(Q457))-$I457,"")</f>
        <v>25</v>
      </c>
      <c r="K457" s="45" cm="1">
        <f t="array" ref="K457">IF(R457&lt;&gt;0, HEX2DEC(Reverse(R457))-$I457,"")</f>
        <v>199</v>
      </c>
      <c r="L457" s="45" t="str" cm="1">
        <f t="array" ref="L457">IF(S457&lt;&gt;0, HEX2DEC(Reverse(S457))-$I457,"")</f>
        <v/>
      </c>
      <c r="M457" s="45" cm="1">
        <f t="array" ref="M457">IF(T457&lt;&gt;0, HEX2DEC(Reverse(T457))-$I457,"")</f>
        <v>200</v>
      </c>
      <c r="O457" s="3">
        <v>1020100</v>
      </c>
      <c r="P457" s="3" t="s">
        <v>114</v>
      </c>
      <c r="Q457" s="3" t="s">
        <v>908</v>
      </c>
      <c r="R457" s="3" t="s">
        <v>1372</v>
      </c>
      <c r="S457" s="3">
        <v>0</v>
      </c>
      <c r="T457" s="3" t="s">
        <v>1374</v>
      </c>
      <c r="U457" s="3"/>
      <c r="V457" s="4"/>
    </row>
    <row r="458" spans="1:22" x14ac:dyDescent="0.2">
      <c r="A458" s="16" t="s">
        <v>546</v>
      </c>
      <c r="B458" s="16">
        <v>3469</v>
      </c>
      <c r="C458" s="15" t="s">
        <v>2</v>
      </c>
      <c r="D458" s="15" t="s">
        <v>1</v>
      </c>
      <c r="E458" s="15" t="s">
        <v>92</v>
      </c>
      <c r="F458" s="15" t="s">
        <v>96</v>
      </c>
      <c r="G458" s="15"/>
      <c r="H458" s="17" t="str" cm="1">
        <f t="array" ref="H458">Reverse2_6(O458)</f>
        <v>00-010101</v>
      </c>
      <c r="I458" s="18" cm="1">
        <f t="array" ref="I458">HEX2DEC(Reverse(P458))</f>
        <v>93631153</v>
      </c>
      <c r="J458" s="18" cm="1">
        <f t="array" ref="J458">IF(Q458&lt;&gt;0, HEX2DEC(Reverse(Q458))-$I458,"")</f>
        <v>200</v>
      </c>
      <c r="K458" s="18" cm="1">
        <f t="array" ref="K458">IF(R458&lt;&gt;0, HEX2DEC(Reverse(R458))-$I458,"")</f>
        <v>23</v>
      </c>
      <c r="L458" s="18" cm="1">
        <f t="array" ref="L458">IF(S458&lt;&gt;0, HEX2DEC(Reverse(S458))-$I458,"")</f>
        <v>201</v>
      </c>
      <c r="M458" s="18" cm="1">
        <f t="array" ref="M458">IF(T458&lt;&gt;0, HEX2DEC(Reverse(T458))-$I458,"")</f>
        <v>24</v>
      </c>
      <c r="O458" s="3">
        <v>1010100</v>
      </c>
      <c r="P458" s="3" t="s">
        <v>114</v>
      </c>
      <c r="Q458" s="3" t="s">
        <v>1374</v>
      </c>
      <c r="R458" s="31" t="s">
        <v>903</v>
      </c>
      <c r="S458" s="3" t="s">
        <v>1377</v>
      </c>
      <c r="T458" s="3" t="s">
        <v>905</v>
      </c>
      <c r="U458" s="3">
        <v>31313131</v>
      </c>
      <c r="V458" s="4" t="s">
        <v>1378</v>
      </c>
    </row>
    <row r="459" spans="1:22" x14ac:dyDescent="0.2">
      <c r="A459" s="16" t="s">
        <v>547</v>
      </c>
      <c r="B459" s="16">
        <v>3470</v>
      </c>
      <c r="C459" s="15" t="s">
        <v>2</v>
      </c>
      <c r="D459" s="15" t="s">
        <v>1</v>
      </c>
      <c r="E459" s="15" t="s">
        <v>92</v>
      </c>
      <c r="F459" s="15" t="s">
        <v>879</v>
      </c>
      <c r="G459" s="15"/>
      <c r="H459" s="17" t="str" cm="1">
        <f t="array" ref="H459">Reverse2_6(O459)</f>
        <v>00-010101</v>
      </c>
      <c r="I459" s="18" cm="1">
        <f t="array" ref="I459">HEX2DEC(Reverse(P459))</f>
        <v>93631153</v>
      </c>
      <c r="J459" s="18" cm="1">
        <f t="array" ref="J459">IF(Q459&lt;&gt;0, HEX2DEC(Reverse(Q459))-$I459,"")</f>
        <v>201</v>
      </c>
      <c r="K459" s="18" cm="1">
        <f t="array" ref="K459">IF(R459&lt;&gt;0, HEX2DEC(Reverse(R459))-$I459,"")</f>
        <v>23</v>
      </c>
      <c r="L459" s="18" cm="1">
        <f t="array" ref="L459">IF(S459&lt;&gt;0, HEX2DEC(Reverse(S459))-$I459,"")</f>
        <v>202</v>
      </c>
      <c r="M459" s="18" cm="1">
        <f t="array" ref="M459">IF(T459&lt;&gt;0, HEX2DEC(Reverse(T459))-$I459,"")</f>
        <v>24</v>
      </c>
      <c r="O459" s="3">
        <v>1010100</v>
      </c>
      <c r="P459" s="3" t="s">
        <v>114</v>
      </c>
      <c r="Q459" s="3" t="s">
        <v>1377</v>
      </c>
      <c r="R459" s="31" t="s">
        <v>903</v>
      </c>
      <c r="S459" s="3" t="s">
        <v>1379</v>
      </c>
      <c r="T459" s="3" t="s">
        <v>905</v>
      </c>
      <c r="U459" s="3" t="s">
        <v>1380</v>
      </c>
      <c r="V459" s="4" t="s">
        <v>1381</v>
      </c>
    </row>
    <row r="460" spans="1:22" x14ac:dyDescent="0.2">
      <c r="A460" s="20" t="s">
        <v>548</v>
      </c>
      <c r="B460" s="20">
        <v>3471</v>
      </c>
      <c r="C460" s="21" t="s">
        <v>1</v>
      </c>
      <c r="D460" s="21" t="s">
        <v>2</v>
      </c>
      <c r="E460" s="21" t="s">
        <v>90</v>
      </c>
      <c r="F460" s="21" t="s">
        <v>94</v>
      </c>
      <c r="G460" s="21" t="s">
        <v>1778</v>
      </c>
      <c r="H460" s="22" t="str" cm="1">
        <f t="array" ref="H460">Reverse2_6(O460)</f>
        <v>00-010201</v>
      </c>
      <c r="I460" s="45" cm="1">
        <f t="array" ref="I460">HEX2DEC(Reverse(P460))</f>
        <v>93631153</v>
      </c>
      <c r="J460" s="45" cm="1">
        <f t="array" ref="J460">IF(Q460&lt;&gt;0, HEX2DEC(Reverse(Q460))-$I460,"")</f>
        <v>25</v>
      </c>
      <c r="K460" s="45" cm="1">
        <f t="array" ref="K460">IF(R460&lt;&gt;0, HEX2DEC(Reverse(R460))-$I460,"")</f>
        <v>200</v>
      </c>
      <c r="L460" s="45" t="str" cm="1">
        <f t="array" ref="L460">IF(S460&lt;&gt;0, HEX2DEC(Reverse(S460))-$I460,"")</f>
        <v/>
      </c>
      <c r="M460" s="45" cm="1">
        <f t="array" ref="M460">IF(T460&lt;&gt;0, HEX2DEC(Reverse(T460))-$I460,"")</f>
        <v>201</v>
      </c>
      <c r="O460" s="3">
        <v>1020100</v>
      </c>
      <c r="P460" s="3" t="s">
        <v>114</v>
      </c>
      <c r="Q460" s="3" t="s">
        <v>908</v>
      </c>
      <c r="R460" s="3" t="s">
        <v>1374</v>
      </c>
      <c r="S460" s="3">
        <v>0</v>
      </c>
      <c r="T460" s="3" t="s">
        <v>1377</v>
      </c>
      <c r="U460" s="3"/>
      <c r="V460" s="4"/>
    </row>
    <row r="461" spans="1:22" x14ac:dyDescent="0.2">
      <c r="A461" s="20" t="s">
        <v>549</v>
      </c>
      <c r="B461" s="20">
        <v>3472</v>
      </c>
      <c r="C461" s="21" t="s">
        <v>1</v>
      </c>
      <c r="D461" s="21" t="s">
        <v>2</v>
      </c>
      <c r="E461" s="21" t="s">
        <v>90</v>
      </c>
      <c r="F461" s="21" t="s">
        <v>94</v>
      </c>
      <c r="G461" s="21" t="s">
        <v>1778</v>
      </c>
      <c r="H461" s="22" t="str" cm="1">
        <f t="array" ref="H461">Reverse2_6(O461)</f>
        <v>00-010201</v>
      </c>
      <c r="I461" s="45" cm="1">
        <f t="array" ref="I461">HEX2DEC(Reverse(P461))</f>
        <v>93631153</v>
      </c>
      <c r="J461" s="45" cm="1">
        <f t="array" ref="J461">IF(Q461&lt;&gt;0, HEX2DEC(Reverse(Q461))-$I461,"")</f>
        <v>25</v>
      </c>
      <c r="K461" s="45" cm="1">
        <f t="array" ref="K461">IF(R461&lt;&gt;0, HEX2DEC(Reverse(R461))-$I461,"")</f>
        <v>201</v>
      </c>
      <c r="L461" s="45" t="str" cm="1">
        <f t="array" ref="L461">IF(S461&lt;&gt;0, HEX2DEC(Reverse(S461))-$I461,"")</f>
        <v/>
      </c>
      <c r="M461" s="45" cm="1">
        <f t="array" ref="M461">IF(T461&lt;&gt;0, HEX2DEC(Reverse(T461))-$I461,"")</f>
        <v>202</v>
      </c>
      <c r="O461" s="3">
        <v>1020100</v>
      </c>
      <c r="P461" s="3" t="s">
        <v>114</v>
      </c>
      <c r="Q461" s="3" t="s">
        <v>908</v>
      </c>
      <c r="R461" s="3" t="s">
        <v>1377</v>
      </c>
      <c r="S461" s="3">
        <v>0</v>
      </c>
      <c r="T461" s="3" t="s">
        <v>1379</v>
      </c>
      <c r="U461" s="3"/>
      <c r="V461" s="4"/>
    </row>
    <row r="462" spans="1:22" x14ac:dyDescent="0.2">
      <c r="A462" s="16" t="s">
        <v>550</v>
      </c>
      <c r="B462" s="16">
        <v>3493</v>
      </c>
      <c r="C462" s="15" t="s">
        <v>2</v>
      </c>
      <c r="D462" s="15" t="s">
        <v>1</v>
      </c>
      <c r="E462" s="15" t="s">
        <v>92</v>
      </c>
      <c r="F462" s="15" t="s">
        <v>96</v>
      </c>
      <c r="G462" s="15"/>
      <c r="H462" s="17" t="str" cm="1">
        <f t="array" ref="H462">Reverse2_6(O462)</f>
        <v>00-010101</v>
      </c>
      <c r="I462" s="18" cm="1">
        <f t="array" ref="I462">HEX2DEC(Reverse(P462))</f>
        <v>93631153</v>
      </c>
      <c r="J462" s="18" cm="1">
        <f t="array" ref="J462">IF(Q462&lt;&gt;0, HEX2DEC(Reverse(Q462))-$I462,"")</f>
        <v>202</v>
      </c>
      <c r="K462" s="18" cm="1">
        <f t="array" ref="K462">IF(R462&lt;&gt;0, HEX2DEC(Reverse(R462))-$I462,"")</f>
        <v>23</v>
      </c>
      <c r="L462" s="18" cm="1">
        <f t="array" ref="L462">IF(S462&lt;&gt;0, HEX2DEC(Reverse(S462))-$I462,"")</f>
        <v>203</v>
      </c>
      <c r="M462" s="18" cm="1">
        <f t="array" ref="M462">IF(T462&lt;&gt;0, HEX2DEC(Reverse(T462))-$I462,"")</f>
        <v>24</v>
      </c>
      <c r="O462" s="3">
        <v>1010100</v>
      </c>
      <c r="P462" s="3" t="s">
        <v>114</v>
      </c>
      <c r="Q462" s="3" t="s">
        <v>1379</v>
      </c>
      <c r="R462" s="31" t="s">
        <v>903</v>
      </c>
      <c r="S462" s="3" t="s">
        <v>1382</v>
      </c>
      <c r="T462" s="3" t="s">
        <v>905</v>
      </c>
      <c r="U462" s="3">
        <v>31313131</v>
      </c>
      <c r="V462" s="4" t="s">
        <v>1383</v>
      </c>
    </row>
    <row r="463" spans="1:22" x14ac:dyDescent="0.2">
      <c r="A463" s="16" t="s">
        <v>551</v>
      </c>
      <c r="B463" s="16">
        <v>3494</v>
      </c>
      <c r="C463" s="15" t="s">
        <v>2</v>
      </c>
      <c r="D463" s="15" t="s">
        <v>1</v>
      </c>
      <c r="E463" s="15" t="s">
        <v>92</v>
      </c>
      <c r="F463" s="15" t="s">
        <v>880</v>
      </c>
      <c r="G463" s="15"/>
      <c r="H463" s="17" t="str" cm="1">
        <f t="array" ref="H463">Reverse2_6(O463)</f>
        <v>00-010101</v>
      </c>
      <c r="I463" s="18" cm="1">
        <f t="array" ref="I463">HEX2DEC(Reverse(P463))</f>
        <v>93631153</v>
      </c>
      <c r="J463" s="18" cm="1">
        <f t="array" ref="J463">IF(Q463&lt;&gt;0, HEX2DEC(Reverse(Q463))-$I463,"")</f>
        <v>203</v>
      </c>
      <c r="K463" s="18" cm="1">
        <f t="array" ref="K463">IF(R463&lt;&gt;0, HEX2DEC(Reverse(R463))-$I463,"")</f>
        <v>23</v>
      </c>
      <c r="L463" s="18" cm="1">
        <f t="array" ref="L463">IF(S463&lt;&gt;0, HEX2DEC(Reverse(S463))-$I463,"")</f>
        <v>204</v>
      </c>
      <c r="M463" s="18" cm="1">
        <f t="array" ref="M463">IF(T463&lt;&gt;0, HEX2DEC(Reverse(T463))-$I463,"")</f>
        <v>24</v>
      </c>
      <c r="O463" s="3">
        <v>1010100</v>
      </c>
      <c r="P463" s="3" t="s">
        <v>114</v>
      </c>
      <c r="Q463" s="3" t="s">
        <v>1382</v>
      </c>
      <c r="R463" s="31" t="s">
        <v>903</v>
      </c>
      <c r="S463" s="3" t="s">
        <v>1384</v>
      </c>
      <c r="T463" s="3" t="s">
        <v>905</v>
      </c>
      <c r="U463" s="3" t="s">
        <v>1385</v>
      </c>
      <c r="V463" s="4" t="s">
        <v>1386</v>
      </c>
    </row>
    <row r="464" spans="1:22" x14ac:dyDescent="0.2">
      <c r="A464" s="20" t="s">
        <v>552</v>
      </c>
      <c r="B464" s="20">
        <v>3495</v>
      </c>
      <c r="C464" s="21" t="s">
        <v>1</v>
      </c>
      <c r="D464" s="21" t="s">
        <v>2</v>
      </c>
      <c r="E464" s="21" t="s">
        <v>90</v>
      </c>
      <c r="F464" s="21" t="s">
        <v>94</v>
      </c>
      <c r="G464" s="21" t="s">
        <v>1778</v>
      </c>
      <c r="H464" s="22" t="str" cm="1">
        <f t="array" ref="H464">Reverse2_6(O464)</f>
        <v>00-010201</v>
      </c>
      <c r="I464" s="45" cm="1">
        <f t="array" ref="I464">HEX2DEC(Reverse(P464))</f>
        <v>93631153</v>
      </c>
      <c r="J464" s="45" cm="1">
        <f t="array" ref="J464">IF(Q464&lt;&gt;0, HEX2DEC(Reverse(Q464))-$I464,"")</f>
        <v>25</v>
      </c>
      <c r="K464" s="45" cm="1">
        <f t="array" ref="K464">IF(R464&lt;&gt;0, HEX2DEC(Reverse(R464))-$I464,"")</f>
        <v>202</v>
      </c>
      <c r="L464" s="45" t="str" cm="1">
        <f t="array" ref="L464">IF(S464&lt;&gt;0, HEX2DEC(Reverse(S464))-$I464,"")</f>
        <v/>
      </c>
      <c r="M464" s="45" cm="1">
        <f t="array" ref="M464">IF(T464&lt;&gt;0, HEX2DEC(Reverse(T464))-$I464,"")</f>
        <v>203</v>
      </c>
      <c r="O464" s="3">
        <v>1020100</v>
      </c>
      <c r="P464" s="3" t="s">
        <v>114</v>
      </c>
      <c r="Q464" s="3" t="s">
        <v>908</v>
      </c>
      <c r="R464" s="3" t="s">
        <v>1379</v>
      </c>
      <c r="S464" s="3">
        <v>0</v>
      </c>
      <c r="T464" s="3" t="s">
        <v>1382</v>
      </c>
      <c r="U464" s="3"/>
      <c r="V464" s="4"/>
    </row>
    <row r="465" spans="1:22" x14ac:dyDescent="0.2">
      <c r="A465" s="20" t="s">
        <v>553</v>
      </c>
      <c r="B465" s="20">
        <v>3496</v>
      </c>
      <c r="C465" s="21" t="s">
        <v>1</v>
      </c>
      <c r="D465" s="21" t="s">
        <v>2</v>
      </c>
      <c r="E465" s="21" t="s">
        <v>90</v>
      </c>
      <c r="F465" s="21" t="s">
        <v>94</v>
      </c>
      <c r="G465" s="21" t="s">
        <v>1778</v>
      </c>
      <c r="H465" s="22" t="str" cm="1">
        <f t="array" ref="H465">Reverse2_6(O465)</f>
        <v>00-010201</v>
      </c>
      <c r="I465" s="45" cm="1">
        <f t="array" ref="I465">HEX2DEC(Reverse(P465))</f>
        <v>93631153</v>
      </c>
      <c r="J465" s="45" cm="1">
        <f t="array" ref="J465">IF(Q465&lt;&gt;0, HEX2DEC(Reverse(Q465))-$I465,"")</f>
        <v>25</v>
      </c>
      <c r="K465" s="45" cm="1">
        <f t="array" ref="K465">IF(R465&lt;&gt;0, HEX2DEC(Reverse(R465))-$I465,"")</f>
        <v>203</v>
      </c>
      <c r="L465" s="45" t="str" cm="1">
        <f t="array" ref="L465">IF(S465&lt;&gt;0, HEX2DEC(Reverse(S465))-$I465,"")</f>
        <v/>
      </c>
      <c r="M465" s="45" cm="1">
        <f t="array" ref="M465">IF(T465&lt;&gt;0, HEX2DEC(Reverse(T465))-$I465,"")</f>
        <v>204</v>
      </c>
      <c r="O465" s="3">
        <v>1020100</v>
      </c>
      <c r="P465" s="3" t="s">
        <v>114</v>
      </c>
      <c r="Q465" s="3" t="s">
        <v>908</v>
      </c>
      <c r="R465" s="3" t="s">
        <v>1382</v>
      </c>
      <c r="S465" s="3">
        <v>0</v>
      </c>
      <c r="T465" s="3" t="s">
        <v>1384</v>
      </c>
      <c r="U465" s="3"/>
      <c r="V465" s="4"/>
    </row>
    <row r="466" spans="1:22" x14ac:dyDescent="0.2">
      <c r="A466" s="16" t="s">
        <v>554</v>
      </c>
      <c r="B466" s="16">
        <v>3504</v>
      </c>
      <c r="C466" s="15" t="s">
        <v>2</v>
      </c>
      <c r="D466" s="15" t="s">
        <v>1</v>
      </c>
      <c r="E466" s="15" t="s">
        <v>92</v>
      </c>
      <c r="F466" s="15" t="s">
        <v>96</v>
      </c>
      <c r="G466" s="15"/>
      <c r="H466" s="17" t="str" cm="1">
        <f t="array" ref="H466">Reverse2_6(O466)</f>
        <v>00-010101</v>
      </c>
      <c r="I466" s="18" cm="1">
        <f t="array" ref="I466">HEX2DEC(Reverse(P466))</f>
        <v>93631153</v>
      </c>
      <c r="J466" s="18" cm="1">
        <f t="array" ref="J466">IF(Q466&lt;&gt;0, HEX2DEC(Reverse(Q466))-$I466,"")</f>
        <v>204</v>
      </c>
      <c r="K466" s="18" cm="1">
        <f t="array" ref="K466">IF(R466&lt;&gt;0, HEX2DEC(Reverse(R466))-$I466,"")</f>
        <v>23</v>
      </c>
      <c r="L466" s="18" cm="1">
        <f t="array" ref="L466">IF(S466&lt;&gt;0, HEX2DEC(Reverse(S466))-$I466,"")</f>
        <v>205</v>
      </c>
      <c r="M466" s="18" cm="1">
        <f t="array" ref="M466">IF(T466&lt;&gt;0, HEX2DEC(Reverse(T466))-$I466,"")</f>
        <v>24</v>
      </c>
      <c r="O466" s="3">
        <v>1010100</v>
      </c>
      <c r="P466" s="3" t="s">
        <v>114</v>
      </c>
      <c r="Q466" s="3" t="s">
        <v>1384</v>
      </c>
      <c r="R466" s="31" t="s">
        <v>903</v>
      </c>
      <c r="S466" s="3" t="s">
        <v>1387</v>
      </c>
      <c r="T466" s="3" t="s">
        <v>905</v>
      </c>
      <c r="U466" s="3">
        <v>31313131</v>
      </c>
      <c r="V466" s="4" t="s">
        <v>1388</v>
      </c>
    </row>
    <row r="467" spans="1:22" x14ac:dyDescent="0.2">
      <c r="A467" s="20" t="s">
        <v>555</v>
      </c>
      <c r="B467" s="20">
        <v>3506</v>
      </c>
      <c r="C467" s="21" t="s">
        <v>1</v>
      </c>
      <c r="D467" s="21" t="s">
        <v>2</v>
      </c>
      <c r="E467" s="21" t="s">
        <v>90</v>
      </c>
      <c r="F467" s="21" t="s">
        <v>94</v>
      </c>
      <c r="G467" s="21" t="s">
        <v>1778</v>
      </c>
      <c r="H467" s="22" t="str" cm="1">
        <f t="array" ref="H467">Reverse2_6(O467)</f>
        <v>00-010201</v>
      </c>
      <c r="I467" s="45" cm="1">
        <f t="array" ref="I467">HEX2DEC(Reverse(P467))</f>
        <v>93631153</v>
      </c>
      <c r="J467" s="45" cm="1">
        <f t="array" ref="J467">IF(Q467&lt;&gt;0, HEX2DEC(Reverse(Q467))-$I467,"")</f>
        <v>25</v>
      </c>
      <c r="K467" s="45" cm="1">
        <f t="array" ref="K467">IF(R467&lt;&gt;0, HEX2DEC(Reverse(R467))-$I467,"")</f>
        <v>204</v>
      </c>
      <c r="L467" s="45" t="str" cm="1">
        <f t="array" ref="L467">IF(S467&lt;&gt;0, HEX2DEC(Reverse(S467))-$I467,"")</f>
        <v/>
      </c>
      <c r="M467" s="45" cm="1">
        <f t="array" ref="M467">IF(T467&lt;&gt;0, HEX2DEC(Reverse(T467))-$I467,"")</f>
        <v>205</v>
      </c>
      <c r="O467" s="3">
        <v>1020100</v>
      </c>
      <c r="P467" s="3" t="s">
        <v>114</v>
      </c>
      <c r="Q467" s="3" t="s">
        <v>908</v>
      </c>
      <c r="R467" s="3" t="s">
        <v>1384</v>
      </c>
      <c r="S467" s="3">
        <v>0</v>
      </c>
      <c r="T467" s="3" t="s">
        <v>1387</v>
      </c>
      <c r="U467" s="3"/>
      <c r="V467" s="4"/>
    </row>
    <row r="468" spans="1:22" x14ac:dyDescent="0.2">
      <c r="A468" s="16" t="s">
        <v>556</v>
      </c>
      <c r="B468" s="16">
        <v>3507</v>
      </c>
      <c r="C468" s="15" t="s">
        <v>2</v>
      </c>
      <c r="D468" s="15" t="s">
        <v>1</v>
      </c>
      <c r="E468" s="15" t="s">
        <v>92</v>
      </c>
      <c r="F468" s="15" t="s">
        <v>881</v>
      </c>
      <c r="G468" s="15"/>
      <c r="H468" s="17" t="str" cm="1">
        <f t="array" ref="H468">Reverse2_6(O468)</f>
        <v>00-010101</v>
      </c>
      <c r="I468" s="18" cm="1">
        <f t="array" ref="I468">HEX2DEC(Reverse(P468))</f>
        <v>93631153</v>
      </c>
      <c r="J468" s="18" cm="1">
        <f t="array" ref="J468">IF(Q468&lt;&gt;0, HEX2DEC(Reverse(Q468))-$I468,"")</f>
        <v>205</v>
      </c>
      <c r="K468" s="18" cm="1">
        <f t="array" ref="K468">IF(R468&lt;&gt;0, HEX2DEC(Reverse(R468))-$I468,"")</f>
        <v>23</v>
      </c>
      <c r="L468" s="18" cm="1">
        <f t="array" ref="L468">IF(S468&lt;&gt;0, HEX2DEC(Reverse(S468))-$I468,"")</f>
        <v>206</v>
      </c>
      <c r="M468" s="18" cm="1">
        <f t="array" ref="M468">IF(T468&lt;&gt;0, HEX2DEC(Reverse(T468))-$I468,"")</f>
        <v>24</v>
      </c>
      <c r="O468" s="3">
        <v>1010100</v>
      </c>
      <c r="P468" s="3" t="s">
        <v>114</v>
      </c>
      <c r="Q468" s="3" t="s">
        <v>1387</v>
      </c>
      <c r="R468" s="31" t="s">
        <v>903</v>
      </c>
      <c r="S468" s="3" t="s">
        <v>1389</v>
      </c>
      <c r="T468" s="3" t="s">
        <v>905</v>
      </c>
      <c r="U468" s="3" t="s">
        <v>1390</v>
      </c>
      <c r="V468" s="4" t="s">
        <v>1391</v>
      </c>
    </row>
    <row r="469" spans="1:22" x14ac:dyDescent="0.2">
      <c r="A469" s="20" t="s">
        <v>557</v>
      </c>
      <c r="B469" s="20">
        <v>3508</v>
      </c>
      <c r="C469" s="21" t="s">
        <v>1</v>
      </c>
      <c r="D469" s="21" t="s">
        <v>2</v>
      </c>
      <c r="E469" s="21" t="s">
        <v>90</v>
      </c>
      <c r="F469" s="21" t="s">
        <v>94</v>
      </c>
      <c r="G469" s="21" t="s">
        <v>1778</v>
      </c>
      <c r="H469" s="22" t="str" cm="1">
        <f t="array" ref="H469">Reverse2_6(O469)</f>
        <v>00-010201</v>
      </c>
      <c r="I469" s="45" cm="1">
        <f t="array" ref="I469">HEX2DEC(Reverse(P469))</f>
        <v>93631153</v>
      </c>
      <c r="J469" s="45" cm="1">
        <f t="array" ref="J469">IF(Q469&lt;&gt;0, HEX2DEC(Reverse(Q469))-$I469,"")</f>
        <v>25</v>
      </c>
      <c r="K469" s="45" cm="1">
        <f t="array" ref="K469">IF(R469&lt;&gt;0, HEX2DEC(Reverse(R469))-$I469,"")</f>
        <v>205</v>
      </c>
      <c r="L469" s="45" t="str" cm="1">
        <f t="array" ref="L469">IF(S469&lt;&gt;0, HEX2DEC(Reverse(S469))-$I469,"")</f>
        <v/>
      </c>
      <c r="M469" s="45" cm="1">
        <f t="array" ref="M469">IF(T469&lt;&gt;0, HEX2DEC(Reverse(T469))-$I469,"")</f>
        <v>206</v>
      </c>
      <c r="O469" s="3">
        <v>1020100</v>
      </c>
      <c r="P469" s="3" t="s">
        <v>114</v>
      </c>
      <c r="Q469" s="3" t="s">
        <v>908</v>
      </c>
      <c r="R469" s="3" t="s">
        <v>1387</v>
      </c>
      <c r="S469" s="3">
        <v>0</v>
      </c>
      <c r="T469" s="3" t="s">
        <v>1389</v>
      </c>
      <c r="U469" s="3"/>
      <c r="V469" s="4"/>
    </row>
    <row r="470" spans="1:22" x14ac:dyDescent="0.2">
      <c r="A470" s="16" t="s">
        <v>558</v>
      </c>
      <c r="B470" s="16">
        <v>3514</v>
      </c>
      <c r="C470" s="15" t="s">
        <v>2</v>
      </c>
      <c r="D470" s="15" t="s">
        <v>1</v>
      </c>
      <c r="E470" s="15" t="s">
        <v>92</v>
      </c>
      <c r="F470" s="15" t="s">
        <v>96</v>
      </c>
      <c r="G470" s="15"/>
      <c r="H470" s="17" t="str" cm="1">
        <f t="array" ref="H470">Reverse2_6(O470)</f>
        <v>00-010101</v>
      </c>
      <c r="I470" s="18" cm="1">
        <f t="array" ref="I470">HEX2DEC(Reverse(P470))</f>
        <v>93631153</v>
      </c>
      <c r="J470" s="18" cm="1">
        <f t="array" ref="J470">IF(Q470&lt;&gt;0, HEX2DEC(Reverse(Q470))-$I470,"")</f>
        <v>206</v>
      </c>
      <c r="K470" s="18" cm="1">
        <f t="array" ref="K470">IF(R470&lt;&gt;0, HEX2DEC(Reverse(R470))-$I470,"")</f>
        <v>24</v>
      </c>
      <c r="L470" s="18" cm="1">
        <f t="array" ref="L470">IF(S470&lt;&gt;0, HEX2DEC(Reverse(S470))-$I470,"")</f>
        <v>207</v>
      </c>
      <c r="M470" s="18" cm="1">
        <f t="array" ref="M470">IF(T470&lt;&gt;0, HEX2DEC(Reverse(T470))-$I470,"")</f>
        <v>25</v>
      </c>
      <c r="O470" s="3">
        <v>1010100</v>
      </c>
      <c r="P470" s="3" t="s">
        <v>114</v>
      </c>
      <c r="Q470" s="3" t="s">
        <v>1389</v>
      </c>
      <c r="R470" s="3" t="s">
        <v>905</v>
      </c>
      <c r="S470" s="3" t="s">
        <v>1392</v>
      </c>
      <c r="T470" s="3" t="s">
        <v>908</v>
      </c>
      <c r="U470" s="3">
        <v>31313131</v>
      </c>
      <c r="V470" s="4" t="s">
        <v>1393</v>
      </c>
    </row>
    <row r="471" spans="1:22" x14ac:dyDescent="0.2">
      <c r="A471" s="16" t="s">
        <v>559</v>
      </c>
      <c r="B471" s="16">
        <v>3515</v>
      </c>
      <c r="C471" s="15" t="s">
        <v>2</v>
      </c>
      <c r="D471" s="15" t="s">
        <v>1</v>
      </c>
      <c r="E471" s="15" t="s">
        <v>92</v>
      </c>
      <c r="F471" s="15" t="s">
        <v>96</v>
      </c>
      <c r="G471" s="15"/>
      <c r="H471" s="17" t="str" cm="1">
        <f t="array" ref="H471">Reverse2_6(O471)</f>
        <v>00-010101</v>
      </c>
      <c r="I471" s="18" cm="1">
        <f t="array" ref="I471">HEX2DEC(Reverse(P471))</f>
        <v>93631153</v>
      </c>
      <c r="J471" s="18" cm="1">
        <f t="array" ref="J471">IF(Q471&lt;&gt;0, HEX2DEC(Reverse(Q471))-$I471,"")</f>
        <v>207</v>
      </c>
      <c r="K471" s="18" cm="1">
        <f t="array" ref="K471">IF(R471&lt;&gt;0, HEX2DEC(Reverse(R471))-$I471,"")</f>
        <v>24</v>
      </c>
      <c r="L471" s="18" cm="1">
        <f t="array" ref="L471">IF(S471&lt;&gt;0, HEX2DEC(Reverse(S471))-$I471,"")</f>
        <v>208</v>
      </c>
      <c r="M471" s="18" cm="1">
        <f t="array" ref="M471">IF(T471&lt;&gt;0, HEX2DEC(Reverse(T471))-$I471,"")</f>
        <v>25</v>
      </c>
      <c r="O471" s="3">
        <v>1010100</v>
      </c>
      <c r="P471" s="3" t="s">
        <v>114</v>
      </c>
      <c r="Q471" s="3" t="s">
        <v>1392</v>
      </c>
      <c r="R471" s="3" t="s">
        <v>905</v>
      </c>
      <c r="S471" s="3" t="s">
        <v>1394</v>
      </c>
      <c r="T471" s="3" t="s">
        <v>908</v>
      </c>
      <c r="U471" s="3" t="s">
        <v>1395</v>
      </c>
      <c r="V471" s="4" t="s">
        <v>1396</v>
      </c>
    </row>
    <row r="472" spans="1:22" x14ac:dyDescent="0.2">
      <c r="A472" s="16" t="s">
        <v>560</v>
      </c>
      <c r="B472" s="16">
        <v>3516</v>
      </c>
      <c r="C472" s="15" t="s">
        <v>2</v>
      </c>
      <c r="D472" s="15" t="s">
        <v>1</v>
      </c>
      <c r="E472" s="15" t="s">
        <v>92</v>
      </c>
      <c r="F472" s="15" t="s">
        <v>882</v>
      </c>
      <c r="G472" s="15"/>
      <c r="H472" s="17" t="str" cm="1">
        <f t="array" ref="H472">Reverse2_6(O472)</f>
        <v>00-010101</v>
      </c>
      <c r="I472" s="18" cm="1">
        <f t="array" ref="I472">HEX2DEC(Reverse(P472))</f>
        <v>93631153</v>
      </c>
      <c r="J472" s="18" cm="1">
        <f t="array" ref="J472">IF(Q472&lt;&gt;0, HEX2DEC(Reverse(Q472))-$I472,"")</f>
        <v>208</v>
      </c>
      <c r="K472" s="18" cm="1">
        <f t="array" ref="K472">IF(R472&lt;&gt;0, HEX2DEC(Reverse(R472))-$I472,"")</f>
        <v>24</v>
      </c>
      <c r="L472" s="18" cm="1">
        <f t="array" ref="L472">IF(S472&lt;&gt;0, HEX2DEC(Reverse(S472))-$I472,"")</f>
        <v>209</v>
      </c>
      <c r="M472" s="18" cm="1">
        <f t="array" ref="M472">IF(T472&lt;&gt;0, HEX2DEC(Reverse(T472))-$I472,"")</f>
        <v>25</v>
      </c>
      <c r="O472" s="3">
        <v>1010100</v>
      </c>
      <c r="P472" s="3" t="s">
        <v>114</v>
      </c>
      <c r="Q472" s="3" t="s">
        <v>1394</v>
      </c>
      <c r="R472" s="3" t="s">
        <v>905</v>
      </c>
      <c r="S472" s="3" t="s">
        <v>1397</v>
      </c>
      <c r="T472" s="3" t="s">
        <v>908</v>
      </c>
      <c r="U472" s="3" t="s">
        <v>1398</v>
      </c>
      <c r="V472" s="4" t="s">
        <v>1399</v>
      </c>
    </row>
    <row r="473" spans="1:22" x14ac:dyDescent="0.2">
      <c r="A473" s="20" t="s">
        <v>561</v>
      </c>
      <c r="B473" s="20">
        <v>3517</v>
      </c>
      <c r="C473" s="21" t="s">
        <v>1</v>
      </c>
      <c r="D473" s="21" t="s">
        <v>2</v>
      </c>
      <c r="E473" s="21" t="s">
        <v>90</v>
      </c>
      <c r="F473" s="21" t="s">
        <v>94</v>
      </c>
      <c r="G473" s="21" t="s">
        <v>1778</v>
      </c>
      <c r="H473" s="22" t="str" cm="1">
        <f t="array" ref="H473">Reverse2_6(O473)</f>
        <v>00-010201</v>
      </c>
      <c r="I473" s="45" cm="1">
        <f t="array" ref="I473">HEX2DEC(Reverse(P473))</f>
        <v>93631153</v>
      </c>
      <c r="J473" s="45" cm="1">
        <f t="array" ref="J473">IF(Q473&lt;&gt;0, HEX2DEC(Reverse(Q473))-$I473,"")</f>
        <v>25</v>
      </c>
      <c r="K473" s="45" cm="1">
        <f t="array" ref="K473">IF(R473&lt;&gt;0, HEX2DEC(Reverse(R473))-$I473,"")</f>
        <v>206</v>
      </c>
      <c r="L473" s="45" t="str" cm="1">
        <f t="array" ref="L473">IF(S473&lt;&gt;0, HEX2DEC(Reverse(S473))-$I473,"")</f>
        <v/>
      </c>
      <c r="M473" s="45" cm="1">
        <f t="array" ref="M473">IF(T473&lt;&gt;0, HEX2DEC(Reverse(T473))-$I473,"")</f>
        <v>207</v>
      </c>
      <c r="O473" s="3">
        <v>1020100</v>
      </c>
      <c r="P473" s="3" t="s">
        <v>114</v>
      </c>
      <c r="Q473" s="3" t="s">
        <v>908</v>
      </c>
      <c r="R473" s="3" t="s">
        <v>1389</v>
      </c>
      <c r="S473" s="3">
        <v>0</v>
      </c>
      <c r="T473" s="3" t="s">
        <v>1392</v>
      </c>
      <c r="U473" s="3"/>
      <c r="V473" s="4"/>
    </row>
    <row r="474" spans="1:22" x14ac:dyDescent="0.2">
      <c r="A474" s="20" t="s">
        <v>562</v>
      </c>
      <c r="B474" s="20">
        <v>3518</v>
      </c>
      <c r="C474" s="21" t="s">
        <v>1</v>
      </c>
      <c r="D474" s="21" t="s">
        <v>2</v>
      </c>
      <c r="E474" s="21" t="s">
        <v>90</v>
      </c>
      <c r="F474" s="21" t="s">
        <v>94</v>
      </c>
      <c r="G474" s="21" t="s">
        <v>1778</v>
      </c>
      <c r="H474" s="22" t="str" cm="1">
        <f t="array" ref="H474">Reverse2_6(O474)</f>
        <v>00-010201</v>
      </c>
      <c r="I474" s="45" cm="1">
        <f t="array" ref="I474">HEX2DEC(Reverse(P474))</f>
        <v>93631153</v>
      </c>
      <c r="J474" s="45" cm="1">
        <f t="array" ref="J474">IF(Q474&lt;&gt;0, HEX2DEC(Reverse(Q474))-$I474,"")</f>
        <v>25</v>
      </c>
      <c r="K474" s="45" cm="1">
        <f t="array" ref="K474">IF(R474&lt;&gt;0, HEX2DEC(Reverse(R474))-$I474,"")</f>
        <v>207</v>
      </c>
      <c r="L474" s="45" t="str" cm="1">
        <f t="array" ref="L474">IF(S474&lt;&gt;0, HEX2DEC(Reverse(S474))-$I474,"")</f>
        <v/>
      </c>
      <c r="M474" s="45" cm="1">
        <f t="array" ref="M474">IF(T474&lt;&gt;0, HEX2DEC(Reverse(T474))-$I474,"")</f>
        <v>208</v>
      </c>
      <c r="O474" s="3">
        <v>1020100</v>
      </c>
      <c r="P474" s="3" t="s">
        <v>114</v>
      </c>
      <c r="Q474" s="3" t="s">
        <v>908</v>
      </c>
      <c r="R474" s="3" t="s">
        <v>1392</v>
      </c>
      <c r="S474" s="3">
        <v>0</v>
      </c>
      <c r="T474" s="3" t="s">
        <v>1394</v>
      </c>
      <c r="U474" s="3"/>
      <c r="V474" s="4"/>
    </row>
    <row r="475" spans="1:22" x14ac:dyDescent="0.2">
      <c r="A475" s="20" t="s">
        <v>563</v>
      </c>
      <c r="B475" s="20">
        <v>3519</v>
      </c>
      <c r="C475" s="21" t="s">
        <v>1</v>
      </c>
      <c r="D475" s="21" t="s">
        <v>2</v>
      </c>
      <c r="E475" s="21" t="s">
        <v>90</v>
      </c>
      <c r="F475" s="21" t="s">
        <v>94</v>
      </c>
      <c r="G475" s="21" t="s">
        <v>1778</v>
      </c>
      <c r="H475" s="22" t="str" cm="1">
        <f t="array" ref="H475">Reverse2_6(O475)</f>
        <v>00-010201</v>
      </c>
      <c r="I475" s="45" cm="1">
        <f t="array" ref="I475">HEX2DEC(Reverse(P475))</f>
        <v>93631153</v>
      </c>
      <c r="J475" s="45" cm="1">
        <f t="array" ref="J475">IF(Q475&lt;&gt;0, HEX2DEC(Reverse(Q475))-$I475,"")</f>
        <v>25</v>
      </c>
      <c r="K475" s="45" cm="1">
        <f t="array" ref="K475">IF(R475&lt;&gt;0, HEX2DEC(Reverse(R475))-$I475,"")</f>
        <v>208</v>
      </c>
      <c r="L475" s="45" t="str" cm="1">
        <f t="array" ref="L475">IF(S475&lt;&gt;0, HEX2DEC(Reverse(S475))-$I475,"")</f>
        <v/>
      </c>
      <c r="M475" s="45" cm="1">
        <f t="array" ref="M475">IF(T475&lt;&gt;0, HEX2DEC(Reverse(T475))-$I475,"")</f>
        <v>209</v>
      </c>
      <c r="O475" s="3">
        <v>1020100</v>
      </c>
      <c r="P475" s="3" t="s">
        <v>114</v>
      </c>
      <c r="Q475" s="3" t="s">
        <v>908</v>
      </c>
      <c r="R475" s="3" t="s">
        <v>1394</v>
      </c>
      <c r="S475" s="3">
        <v>0</v>
      </c>
      <c r="T475" s="3" t="s">
        <v>1397</v>
      </c>
      <c r="U475" s="3"/>
      <c r="V475" s="4"/>
    </row>
    <row r="476" spans="1:22" x14ac:dyDescent="0.2">
      <c r="A476" s="46" t="s">
        <v>564</v>
      </c>
      <c r="B476" s="46">
        <v>3530</v>
      </c>
      <c r="C476" s="36" t="s">
        <v>1</v>
      </c>
      <c r="D476" s="36" t="s">
        <v>2</v>
      </c>
      <c r="E476" s="36" t="s">
        <v>90</v>
      </c>
      <c r="F476" s="36" t="s">
        <v>106</v>
      </c>
      <c r="G476" s="36"/>
      <c r="H476" s="35" t="str" cm="1">
        <f t="array" ref="H476">Reverse2_6(O476)</f>
        <v>00-010101</v>
      </c>
      <c r="I476" s="44" cm="1">
        <f t="array" ref="I476">HEX2DEC(Reverse(P476))</f>
        <v>93631153</v>
      </c>
      <c r="J476" s="44" cm="1">
        <f t="array" ref="J476">IF(Q476&lt;&gt;0, HEX2DEC(Reverse(Q476))-$I476,"")</f>
        <v>26</v>
      </c>
      <c r="K476" s="44" cm="1">
        <f t="array" ref="K476">IF(R476&lt;&gt;0, HEX2DEC(Reverse(R476))-$I476,"")</f>
        <v>208</v>
      </c>
      <c r="L476" s="44" cm="1">
        <f t="array" ref="L476">IF(S476&lt;&gt;0, HEX2DEC(Reverse(S476))-$I476,"")</f>
        <v>26</v>
      </c>
      <c r="M476" s="44" cm="1">
        <f t="array" ref="M476">IF(T476&lt;&gt;0, HEX2DEC(Reverse(T476))-$I476,"")</f>
        <v>209</v>
      </c>
      <c r="O476" s="3">
        <v>1010100</v>
      </c>
      <c r="P476" s="3" t="s">
        <v>114</v>
      </c>
      <c r="Q476" s="3" t="s">
        <v>911</v>
      </c>
      <c r="R476" s="3" t="s">
        <v>1394</v>
      </c>
      <c r="S476" s="3" t="s">
        <v>911</v>
      </c>
      <c r="T476" s="3" t="s">
        <v>1397</v>
      </c>
      <c r="U476" s="3">
        <v>31313131</v>
      </c>
      <c r="V476" s="4" t="s">
        <v>135</v>
      </c>
    </row>
    <row r="477" spans="1:22" x14ac:dyDescent="0.2">
      <c r="A477" s="16" t="s">
        <v>565</v>
      </c>
      <c r="B477" s="16">
        <v>3533</v>
      </c>
      <c r="C477" s="15" t="s">
        <v>2</v>
      </c>
      <c r="D477" s="15" t="s">
        <v>1</v>
      </c>
      <c r="E477" s="15" t="s">
        <v>92</v>
      </c>
      <c r="F477" s="15" t="s">
        <v>96</v>
      </c>
      <c r="G477" s="15"/>
      <c r="H477" s="17" t="str" cm="1">
        <f t="array" ref="H477">Reverse2_6(O477)</f>
        <v>00-010101</v>
      </c>
      <c r="I477" s="18" cm="1">
        <f t="array" ref="I477">HEX2DEC(Reverse(P477))</f>
        <v>93631153</v>
      </c>
      <c r="J477" s="18" cm="1">
        <f t="array" ref="J477">IF(Q477&lt;&gt;0, HEX2DEC(Reverse(Q477))-$I477,"")</f>
        <v>209</v>
      </c>
      <c r="K477" s="18" cm="1">
        <f t="array" ref="K477">IF(R477&lt;&gt;0, HEX2DEC(Reverse(R477))-$I477,"")</f>
        <v>24</v>
      </c>
      <c r="L477" s="18" cm="1">
        <f t="array" ref="L477">IF(S477&lt;&gt;0, HEX2DEC(Reverse(S477))-$I477,"")</f>
        <v>199</v>
      </c>
      <c r="M477" s="18" cm="1">
        <f t="array" ref="M477">IF(T477&lt;&gt;0, HEX2DEC(Reverse(T477))-$I477,"")</f>
        <v>25</v>
      </c>
      <c r="O477" s="3">
        <v>1010100</v>
      </c>
      <c r="P477" s="3" t="s">
        <v>114</v>
      </c>
      <c r="Q477" s="3" t="s">
        <v>1397</v>
      </c>
      <c r="R477" s="3" t="s">
        <v>905</v>
      </c>
      <c r="S477" s="3" t="s">
        <v>1372</v>
      </c>
      <c r="T477" s="3" t="s">
        <v>908</v>
      </c>
      <c r="U477" s="3">
        <v>31313131</v>
      </c>
      <c r="V477" s="4" t="s">
        <v>1373</v>
      </c>
    </row>
    <row r="478" spans="1:22" x14ac:dyDescent="0.2">
      <c r="A478" s="16" t="s">
        <v>566</v>
      </c>
      <c r="B478" s="16">
        <v>3534</v>
      </c>
      <c r="C478" s="15" t="s">
        <v>2</v>
      </c>
      <c r="D478" s="15" t="s">
        <v>1</v>
      </c>
      <c r="E478" s="15" t="s">
        <v>92</v>
      </c>
      <c r="F478" s="15" t="s">
        <v>878</v>
      </c>
      <c r="G478" s="15"/>
      <c r="H478" s="17" t="str" cm="1">
        <f t="array" ref="H478">Reverse2_6(O478)</f>
        <v>00-010101</v>
      </c>
      <c r="I478" s="18" cm="1">
        <f t="array" ref="I478">HEX2DEC(Reverse(P478))</f>
        <v>93631153</v>
      </c>
      <c r="J478" s="18" cm="1">
        <f t="array" ref="J478">IF(Q478&lt;&gt;0, HEX2DEC(Reverse(Q478))-$I478,"")</f>
        <v>210</v>
      </c>
      <c r="K478" s="18" cm="1">
        <f t="array" ref="K478">IF(R478&lt;&gt;0, HEX2DEC(Reverse(R478))-$I478,"")</f>
        <v>24</v>
      </c>
      <c r="L478" s="18" cm="1">
        <f t="array" ref="L478">IF(S478&lt;&gt;0, HEX2DEC(Reverse(S478))-$I478,"")</f>
        <v>200</v>
      </c>
      <c r="M478" s="18" cm="1">
        <f t="array" ref="M478">IF(T478&lt;&gt;0, HEX2DEC(Reverse(T478))-$I478,"")</f>
        <v>25</v>
      </c>
      <c r="O478" s="3">
        <v>1010100</v>
      </c>
      <c r="P478" s="3" t="s">
        <v>114</v>
      </c>
      <c r="Q478" s="3" t="s">
        <v>1400</v>
      </c>
      <c r="R478" s="3" t="s">
        <v>905</v>
      </c>
      <c r="S478" s="3" t="s">
        <v>1374</v>
      </c>
      <c r="T478" s="3" t="s">
        <v>908</v>
      </c>
      <c r="U478" s="3" t="s">
        <v>1375</v>
      </c>
      <c r="V478" s="4" t="s">
        <v>1376</v>
      </c>
    </row>
    <row r="479" spans="1:22" x14ac:dyDescent="0.2">
      <c r="A479" s="16" t="s">
        <v>567</v>
      </c>
      <c r="B479" s="16">
        <v>3535</v>
      </c>
      <c r="C479" s="15" t="s">
        <v>2</v>
      </c>
      <c r="D479" s="15" t="s">
        <v>1</v>
      </c>
      <c r="E479" s="15" t="s">
        <v>92</v>
      </c>
      <c r="F479" s="15" t="s">
        <v>96</v>
      </c>
      <c r="G479" s="15"/>
      <c r="H479" s="17" t="str" cm="1">
        <f t="array" ref="H479">Reverse2_6(O479)</f>
        <v>00-010101</v>
      </c>
      <c r="I479" s="18" cm="1">
        <f t="array" ref="I479">HEX2DEC(Reverse(P479))</f>
        <v>93631153</v>
      </c>
      <c r="J479" s="18" cm="1">
        <f t="array" ref="J479">IF(Q479&lt;&gt;0, HEX2DEC(Reverse(Q479))-$I479,"")</f>
        <v>211</v>
      </c>
      <c r="K479" s="18" cm="1">
        <f t="array" ref="K479">IF(R479&lt;&gt;0, HEX2DEC(Reverse(R479))-$I479,"")</f>
        <v>24</v>
      </c>
      <c r="L479" s="18" cm="1">
        <f t="array" ref="L479">IF(S479&lt;&gt;0, HEX2DEC(Reverse(S479))-$I479,"")</f>
        <v>210</v>
      </c>
      <c r="M479" s="18" cm="1">
        <f t="array" ref="M479">IF(T479&lt;&gt;0, HEX2DEC(Reverse(T479))-$I479,"")</f>
        <v>25</v>
      </c>
      <c r="O479" s="3">
        <v>1010100</v>
      </c>
      <c r="P479" s="3" t="s">
        <v>114</v>
      </c>
      <c r="Q479" s="3" t="s">
        <v>1401</v>
      </c>
      <c r="R479" s="3" t="s">
        <v>905</v>
      </c>
      <c r="S479" s="3" t="s">
        <v>1400</v>
      </c>
      <c r="T479" s="3" t="s">
        <v>908</v>
      </c>
      <c r="U479" s="3">
        <v>31313131</v>
      </c>
      <c r="V479" s="4" t="s">
        <v>151</v>
      </c>
    </row>
    <row r="480" spans="1:22" x14ac:dyDescent="0.2">
      <c r="A480" s="16" t="s">
        <v>568</v>
      </c>
      <c r="B480" s="16">
        <v>3536</v>
      </c>
      <c r="C480" s="15" t="s">
        <v>2</v>
      </c>
      <c r="D480" s="15" t="s">
        <v>1</v>
      </c>
      <c r="E480" s="15" t="s">
        <v>92</v>
      </c>
      <c r="F480" s="15" t="s">
        <v>883</v>
      </c>
      <c r="G480" s="15"/>
      <c r="H480" s="17" t="str" cm="1">
        <f t="array" ref="H480">Reverse2_6(O480)</f>
        <v>00-010101</v>
      </c>
      <c r="I480" s="18" cm="1">
        <f t="array" ref="I480">HEX2DEC(Reverse(P480))</f>
        <v>93631153</v>
      </c>
      <c r="J480" s="18" cm="1">
        <f t="array" ref="J480">IF(Q480&lt;&gt;0, HEX2DEC(Reverse(Q480))-$I480,"")</f>
        <v>212</v>
      </c>
      <c r="K480" s="18" cm="1">
        <f t="array" ref="K480">IF(R480&lt;&gt;0, HEX2DEC(Reverse(R480))-$I480,"")</f>
        <v>24</v>
      </c>
      <c r="L480" s="18" cm="1">
        <f t="array" ref="L480">IF(S480&lt;&gt;0, HEX2DEC(Reverse(S480))-$I480,"")</f>
        <v>211</v>
      </c>
      <c r="M480" s="18" cm="1">
        <f t="array" ref="M480">IF(T480&lt;&gt;0, HEX2DEC(Reverse(T480))-$I480,"")</f>
        <v>25</v>
      </c>
      <c r="O480" s="3">
        <v>1010100</v>
      </c>
      <c r="P480" s="3" t="s">
        <v>114</v>
      </c>
      <c r="Q480" s="3" t="s">
        <v>1402</v>
      </c>
      <c r="R480" s="3" t="s">
        <v>905</v>
      </c>
      <c r="S480" s="3" t="s">
        <v>1401</v>
      </c>
      <c r="T480" s="3" t="s">
        <v>908</v>
      </c>
      <c r="U480" s="3" t="s">
        <v>1403</v>
      </c>
      <c r="V480" s="4" t="s">
        <v>1404</v>
      </c>
    </row>
    <row r="481" spans="1:22" x14ac:dyDescent="0.2">
      <c r="A481" s="20" t="s">
        <v>569</v>
      </c>
      <c r="B481" s="20">
        <v>3537</v>
      </c>
      <c r="C481" s="21" t="s">
        <v>1</v>
      </c>
      <c r="D481" s="21" t="s">
        <v>2</v>
      </c>
      <c r="E481" s="21" t="s">
        <v>90</v>
      </c>
      <c r="F481" s="21" t="s">
        <v>94</v>
      </c>
      <c r="G481" s="21" t="s">
        <v>1778</v>
      </c>
      <c r="H481" s="22" t="str" cm="1">
        <f t="array" ref="H481">Reverse2_6(O481)</f>
        <v>00-010201</v>
      </c>
      <c r="I481" s="45" cm="1">
        <f t="array" ref="I481">HEX2DEC(Reverse(P481))</f>
        <v>93631153</v>
      </c>
      <c r="J481" s="45" cm="1">
        <f t="array" ref="J481">IF(Q481&lt;&gt;0, HEX2DEC(Reverse(Q481))-$I481,"")</f>
        <v>26</v>
      </c>
      <c r="K481" s="45" cm="1">
        <f t="array" ref="K481">IF(R481&lt;&gt;0, HEX2DEC(Reverse(R481))-$I481,"")</f>
        <v>209</v>
      </c>
      <c r="L481" s="45" t="str" cm="1">
        <f t="array" ref="L481">IF(S481&lt;&gt;0, HEX2DEC(Reverse(S481))-$I481,"")</f>
        <v/>
      </c>
      <c r="M481" s="45" cm="1">
        <f t="array" ref="M481">IF(T481&lt;&gt;0, HEX2DEC(Reverse(T481))-$I481,"")</f>
        <v>209</v>
      </c>
      <c r="O481" s="3">
        <v>1020100</v>
      </c>
      <c r="P481" s="3" t="s">
        <v>114</v>
      </c>
      <c r="Q481" s="3" t="s">
        <v>911</v>
      </c>
      <c r="R481" s="3" t="s">
        <v>1397</v>
      </c>
      <c r="S481" s="3">
        <v>0</v>
      </c>
      <c r="T481" s="3" t="s">
        <v>1397</v>
      </c>
      <c r="U481" s="3"/>
      <c r="V481" s="4"/>
    </row>
    <row r="482" spans="1:22" x14ac:dyDescent="0.2">
      <c r="A482" s="20" t="s">
        <v>570</v>
      </c>
      <c r="B482" s="20">
        <v>3538</v>
      </c>
      <c r="C482" s="21" t="s">
        <v>1</v>
      </c>
      <c r="D482" s="21" t="s">
        <v>2</v>
      </c>
      <c r="E482" s="21" t="s">
        <v>90</v>
      </c>
      <c r="F482" s="21" t="s">
        <v>94</v>
      </c>
      <c r="G482" s="21" t="s">
        <v>1778</v>
      </c>
      <c r="H482" s="22" t="str" cm="1">
        <f t="array" ref="H482">Reverse2_6(O482)</f>
        <v>00-010201</v>
      </c>
      <c r="I482" s="45" cm="1">
        <f t="array" ref="I482">HEX2DEC(Reverse(P482))</f>
        <v>93631153</v>
      </c>
      <c r="J482" s="45" cm="1">
        <f t="array" ref="J482">IF(Q482&lt;&gt;0, HEX2DEC(Reverse(Q482))-$I482,"")</f>
        <v>26</v>
      </c>
      <c r="K482" s="45" cm="1">
        <f t="array" ref="K482">IF(R482&lt;&gt;0, HEX2DEC(Reverse(R482))-$I482,"")</f>
        <v>210</v>
      </c>
      <c r="L482" s="45" t="str" cm="1">
        <f t="array" ref="L482">IF(S482&lt;&gt;0, HEX2DEC(Reverse(S482))-$I482,"")</f>
        <v/>
      </c>
      <c r="M482" s="45" cm="1">
        <f t="array" ref="M482">IF(T482&lt;&gt;0, HEX2DEC(Reverse(T482))-$I482,"")</f>
        <v>209</v>
      </c>
      <c r="O482" s="3">
        <v>1020100</v>
      </c>
      <c r="P482" s="3" t="s">
        <v>114</v>
      </c>
      <c r="Q482" s="3" t="s">
        <v>911</v>
      </c>
      <c r="R482" s="3" t="s">
        <v>1400</v>
      </c>
      <c r="S482" s="3">
        <v>0</v>
      </c>
      <c r="T482" s="3" t="s">
        <v>1397</v>
      </c>
      <c r="U482" s="3"/>
      <c r="V482" s="4"/>
    </row>
    <row r="483" spans="1:22" x14ac:dyDescent="0.2">
      <c r="A483" s="20" t="s">
        <v>571</v>
      </c>
      <c r="B483" s="20">
        <v>3539</v>
      </c>
      <c r="C483" s="21" t="s">
        <v>1</v>
      </c>
      <c r="D483" s="21" t="s">
        <v>2</v>
      </c>
      <c r="E483" s="21" t="s">
        <v>90</v>
      </c>
      <c r="F483" s="21" t="s">
        <v>94</v>
      </c>
      <c r="G483" s="21" t="s">
        <v>1778</v>
      </c>
      <c r="H483" s="22" t="str" cm="1">
        <f t="array" ref="H483">Reverse2_6(O483)</f>
        <v>00-010201</v>
      </c>
      <c r="I483" s="45" cm="1">
        <f t="array" ref="I483">HEX2DEC(Reverse(P483))</f>
        <v>93631153</v>
      </c>
      <c r="J483" s="45" cm="1">
        <f t="array" ref="J483">IF(Q483&lt;&gt;0, HEX2DEC(Reverse(Q483))-$I483,"")</f>
        <v>26</v>
      </c>
      <c r="K483" s="45" cm="1">
        <f t="array" ref="K483">IF(R483&lt;&gt;0, HEX2DEC(Reverse(R483))-$I483,"")</f>
        <v>211</v>
      </c>
      <c r="L483" s="45" t="str" cm="1">
        <f t="array" ref="L483">IF(S483&lt;&gt;0, HEX2DEC(Reverse(S483))-$I483,"")</f>
        <v/>
      </c>
      <c r="M483" s="45" cm="1">
        <f t="array" ref="M483">IF(T483&lt;&gt;0, HEX2DEC(Reverse(T483))-$I483,"")</f>
        <v>210</v>
      </c>
      <c r="O483" s="3">
        <v>1020100</v>
      </c>
      <c r="P483" s="3" t="s">
        <v>114</v>
      </c>
      <c r="Q483" s="3" t="s">
        <v>911</v>
      </c>
      <c r="R483" s="3" t="s">
        <v>1401</v>
      </c>
      <c r="S483" s="3">
        <v>0</v>
      </c>
      <c r="T483" s="3" t="s">
        <v>1400</v>
      </c>
      <c r="U483" s="3"/>
      <c r="V483" s="4"/>
    </row>
    <row r="484" spans="1:22" x14ac:dyDescent="0.2">
      <c r="A484" s="20" t="s">
        <v>572</v>
      </c>
      <c r="B484" s="20">
        <v>3540</v>
      </c>
      <c r="C484" s="21" t="s">
        <v>1</v>
      </c>
      <c r="D484" s="21" t="s">
        <v>2</v>
      </c>
      <c r="E484" s="21" t="s">
        <v>90</v>
      </c>
      <c r="F484" s="21" t="s">
        <v>94</v>
      </c>
      <c r="G484" s="21" t="s">
        <v>1778</v>
      </c>
      <c r="H484" s="22" t="str" cm="1">
        <f t="array" ref="H484">Reverse2_6(O484)</f>
        <v>00-010201</v>
      </c>
      <c r="I484" s="45" cm="1">
        <f t="array" ref="I484">HEX2DEC(Reverse(P484))</f>
        <v>93631153</v>
      </c>
      <c r="J484" s="45" cm="1">
        <f t="array" ref="J484">IF(Q484&lt;&gt;0, HEX2DEC(Reverse(Q484))-$I484,"")</f>
        <v>26</v>
      </c>
      <c r="K484" s="45" cm="1">
        <f t="array" ref="K484">IF(R484&lt;&gt;0, HEX2DEC(Reverse(R484))-$I484,"")</f>
        <v>212</v>
      </c>
      <c r="L484" s="45" t="str" cm="1">
        <f t="array" ref="L484">IF(S484&lt;&gt;0, HEX2DEC(Reverse(S484))-$I484,"")</f>
        <v/>
      </c>
      <c r="M484" s="45" cm="1">
        <f t="array" ref="M484">IF(T484&lt;&gt;0, HEX2DEC(Reverse(T484))-$I484,"")</f>
        <v>211</v>
      </c>
      <c r="O484" s="3">
        <v>1020100</v>
      </c>
      <c r="P484" s="3" t="s">
        <v>114</v>
      </c>
      <c r="Q484" s="3" t="s">
        <v>911</v>
      </c>
      <c r="R484" s="3" t="s">
        <v>1402</v>
      </c>
      <c r="S484" s="3">
        <v>0</v>
      </c>
      <c r="T484" s="3" t="s">
        <v>1401</v>
      </c>
      <c r="U484" s="3"/>
      <c r="V484" s="4"/>
    </row>
    <row r="485" spans="1:22" x14ac:dyDescent="0.2">
      <c r="A485" s="24" t="s">
        <v>573</v>
      </c>
      <c r="B485" s="24">
        <v>3545</v>
      </c>
      <c r="C485" s="25" t="s">
        <v>2</v>
      </c>
      <c r="D485" s="25" t="s">
        <v>1</v>
      </c>
      <c r="E485" s="25" t="s">
        <v>92</v>
      </c>
      <c r="F485" s="25" t="s">
        <v>94</v>
      </c>
      <c r="G485" s="25" t="s">
        <v>1777</v>
      </c>
      <c r="H485" s="26" t="str" cm="1">
        <f t="array" ref="H485">Reverse2_6(O485)</f>
        <v>00-010201</v>
      </c>
      <c r="I485" s="43" cm="1">
        <f t="array" ref="I485">HEX2DEC(Reverse(P485))</f>
        <v>93631153</v>
      </c>
      <c r="J485" s="43" cm="1">
        <f t="array" ref="J485">IF(Q485&lt;&gt;0, HEX2DEC(Reverse(Q485))-$I485,"")</f>
        <v>212</v>
      </c>
      <c r="K485" s="43" cm="1">
        <f t="array" ref="K485">IF(R485&lt;&gt;0, HEX2DEC(Reverse(R485))-$I485,"")</f>
        <v>25</v>
      </c>
      <c r="L485" s="43" t="str" cm="1">
        <f t="array" ref="L485">IF(S485&lt;&gt;0, HEX2DEC(Reverse(S485))-$I485,"")</f>
        <v/>
      </c>
      <c r="M485" s="43" cm="1">
        <f t="array" ref="M485">IF(T485&lt;&gt;0, HEX2DEC(Reverse(T485))-$I485,"")</f>
        <v>26</v>
      </c>
      <c r="O485" s="26">
        <v>1020100</v>
      </c>
      <c r="P485" s="26" t="s">
        <v>114</v>
      </c>
      <c r="Q485" s="26" t="s">
        <v>1402</v>
      </c>
      <c r="R485" s="3" t="s">
        <v>908</v>
      </c>
      <c r="S485" s="26">
        <v>0</v>
      </c>
      <c r="T485" s="26" t="s">
        <v>911</v>
      </c>
      <c r="U485" s="3"/>
      <c r="V485" s="4"/>
    </row>
    <row r="486" spans="1:22" x14ac:dyDescent="0.2">
      <c r="A486" s="16" t="s">
        <v>574</v>
      </c>
      <c r="B486" s="16">
        <v>3552</v>
      </c>
      <c r="C486" s="15" t="s">
        <v>2</v>
      </c>
      <c r="D486" s="15" t="s">
        <v>1</v>
      </c>
      <c r="E486" s="15" t="s">
        <v>92</v>
      </c>
      <c r="F486" s="15" t="s">
        <v>96</v>
      </c>
      <c r="G486" s="15"/>
      <c r="H486" s="17" t="str" cm="1">
        <f t="array" ref="H486">Reverse2_6(O486)</f>
        <v>00-010101</v>
      </c>
      <c r="I486" s="18" cm="1">
        <f t="array" ref="I486">HEX2DEC(Reverse(P486))</f>
        <v>93631153</v>
      </c>
      <c r="J486" s="18" cm="1">
        <f t="array" ref="J486">IF(Q486&lt;&gt;0, HEX2DEC(Reverse(Q486))-$I486,"")</f>
        <v>213</v>
      </c>
      <c r="K486" s="18" cm="1">
        <f t="array" ref="K486">IF(R486&lt;&gt;0, HEX2DEC(Reverse(R486))-$I486,"")</f>
        <v>25</v>
      </c>
      <c r="L486" s="18" cm="1">
        <f t="array" ref="L486">IF(S486&lt;&gt;0, HEX2DEC(Reverse(S486))-$I486,"")</f>
        <v>212</v>
      </c>
      <c r="M486" s="18" cm="1">
        <f t="array" ref="M486">IF(T486&lt;&gt;0, HEX2DEC(Reverse(T486))-$I486,"")</f>
        <v>26</v>
      </c>
      <c r="O486" s="3">
        <v>1010100</v>
      </c>
      <c r="P486" s="3" t="s">
        <v>114</v>
      </c>
      <c r="Q486" s="3" t="s">
        <v>1405</v>
      </c>
      <c r="R486" s="32" t="s">
        <v>908</v>
      </c>
      <c r="S486" s="3" t="s">
        <v>1402</v>
      </c>
      <c r="T486" s="3" t="s">
        <v>911</v>
      </c>
      <c r="U486" s="3">
        <v>31313131</v>
      </c>
      <c r="V486" s="4" t="s">
        <v>1406</v>
      </c>
    </row>
    <row r="487" spans="1:22" x14ac:dyDescent="0.2">
      <c r="A487" s="16" t="s">
        <v>575</v>
      </c>
      <c r="B487" s="16">
        <v>3553</v>
      </c>
      <c r="C487" s="15" t="s">
        <v>2</v>
      </c>
      <c r="D487" s="15" t="s">
        <v>1</v>
      </c>
      <c r="E487" s="15" t="s">
        <v>92</v>
      </c>
      <c r="F487" s="15" t="s">
        <v>884</v>
      </c>
      <c r="G487" s="15"/>
      <c r="H487" s="17" t="str" cm="1">
        <f t="array" ref="H487">Reverse2_6(O487)</f>
        <v>00-010101</v>
      </c>
      <c r="I487" s="18" cm="1">
        <f t="array" ref="I487">HEX2DEC(Reverse(P487))</f>
        <v>93631153</v>
      </c>
      <c r="J487" s="18" cm="1">
        <f t="array" ref="J487">IF(Q487&lt;&gt;0, HEX2DEC(Reverse(Q487))-$I487,"")</f>
        <v>214</v>
      </c>
      <c r="K487" s="18" cm="1">
        <f t="array" ref="K487">IF(R487&lt;&gt;0, HEX2DEC(Reverse(R487))-$I487,"")</f>
        <v>25</v>
      </c>
      <c r="L487" s="18" cm="1">
        <f t="array" ref="L487">IF(S487&lt;&gt;0, HEX2DEC(Reverse(S487))-$I487,"")</f>
        <v>213</v>
      </c>
      <c r="M487" s="18" cm="1">
        <f t="array" ref="M487">IF(T487&lt;&gt;0, HEX2DEC(Reverse(T487))-$I487,"")</f>
        <v>26</v>
      </c>
      <c r="O487" s="3">
        <v>1010100</v>
      </c>
      <c r="P487" s="3" t="s">
        <v>114</v>
      </c>
      <c r="Q487" s="3" t="s">
        <v>1407</v>
      </c>
      <c r="R487" s="32" t="s">
        <v>908</v>
      </c>
      <c r="S487" s="3" t="s">
        <v>1405</v>
      </c>
      <c r="T487" s="3" t="s">
        <v>911</v>
      </c>
      <c r="U487" s="3" t="s">
        <v>1408</v>
      </c>
      <c r="V487" s="4" t="s">
        <v>1409</v>
      </c>
    </row>
    <row r="488" spans="1:22" x14ac:dyDescent="0.2">
      <c r="A488" s="20" t="s">
        <v>576</v>
      </c>
      <c r="B488" s="20">
        <v>3554</v>
      </c>
      <c r="C488" s="21" t="s">
        <v>1</v>
      </c>
      <c r="D488" s="21" t="s">
        <v>2</v>
      </c>
      <c r="E488" s="21" t="s">
        <v>90</v>
      </c>
      <c r="F488" s="21" t="s">
        <v>94</v>
      </c>
      <c r="G488" s="21" t="s">
        <v>1778</v>
      </c>
      <c r="H488" s="22" t="str" cm="1">
        <f t="array" ref="H488">Reverse2_6(O488)</f>
        <v>00-010201</v>
      </c>
      <c r="I488" s="45" cm="1">
        <f t="array" ref="I488">HEX2DEC(Reverse(P488))</f>
        <v>93631153</v>
      </c>
      <c r="J488" s="45" cm="1">
        <f t="array" ref="J488">IF(Q488&lt;&gt;0, HEX2DEC(Reverse(Q488))-$I488,"")</f>
        <v>26</v>
      </c>
      <c r="K488" s="45" cm="1">
        <f t="array" ref="K488">IF(R488&lt;&gt;0, HEX2DEC(Reverse(R488))-$I488,"")</f>
        <v>213</v>
      </c>
      <c r="L488" s="45" t="str" cm="1">
        <f t="array" ref="L488">IF(S488&lt;&gt;0, HEX2DEC(Reverse(S488))-$I488,"")</f>
        <v/>
      </c>
      <c r="M488" s="45" cm="1">
        <f t="array" ref="M488">IF(T488&lt;&gt;0, HEX2DEC(Reverse(T488))-$I488,"")</f>
        <v>212</v>
      </c>
      <c r="O488" s="3">
        <v>1020100</v>
      </c>
      <c r="P488" s="3" t="s">
        <v>114</v>
      </c>
      <c r="Q488" s="3" t="s">
        <v>911</v>
      </c>
      <c r="R488" s="3" t="s">
        <v>1405</v>
      </c>
      <c r="S488" s="3">
        <v>0</v>
      </c>
      <c r="T488" s="3" t="s">
        <v>1402</v>
      </c>
      <c r="U488" s="3"/>
      <c r="V488" s="4"/>
    </row>
    <row r="489" spans="1:22" x14ac:dyDescent="0.2">
      <c r="A489" s="20" t="s">
        <v>577</v>
      </c>
      <c r="B489" s="20">
        <v>3555</v>
      </c>
      <c r="C489" s="21" t="s">
        <v>1</v>
      </c>
      <c r="D489" s="21" t="s">
        <v>2</v>
      </c>
      <c r="E489" s="21" t="s">
        <v>90</v>
      </c>
      <c r="F489" s="21" t="s">
        <v>94</v>
      </c>
      <c r="G489" s="21" t="s">
        <v>1778</v>
      </c>
      <c r="H489" s="22" t="str" cm="1">
        <f t="array" ref="H489">Reverse2_6(O489)</f>
        <v>00-010201</v>
      </c>
      <c r="I489" s="45" cm="1">
        <f t="array" ref="I489">HEX2DEC(Reverse(P489))</f>
        <v>93631153</v>
      </c>
      <c r="J489" s="45" cm="1">
        <f t="array" ref="J489">IF(Q489&lt;&gt;0, HEX2DEC(Reverse(Q489))-$I489,"")</f>
        <v>26</v>
      </c>
      <c r="K489" s="45" cm="1">
        <f t="array" ref="K489">IF(R489&lt;&gt;0, HEX2DEC(Reverse(R489))-$I489,"")</f>
        <v>214</v>
      </c>
      <c r="L489" s="45" t="str" cm="1">
        <f t="array" ref="L489">IF(S489&lt;&gt;0, HEX2DEC(Reverse(S489))-$I489,"")</f>
        <v/>
      </c>
      <c r="M489" s="45" cm="1">
        <f t="array" ref="M489">IF(T489&lt;&gt;0, HEX2DEC(Reverse(T489))-$I489,"")</f>
        <v>213</v>
      </c>
      <c r="O489" s="3">
        <v>1020100</v>
      </c>
      <c r="P489" s="3" t="s">
        <v>114</v>
      </c>
      <c r="Q489" s="3" t="s">
        <v>911</v>
      </c>
      <c r="R489" s="3" t="s">
        <v>1407</v>
      </c>
      <c r="S489" s="3">
        <v>0</v>
      </c>
      <c r="T489" s="3" t="s">
        <v>1405</v>
      </c>
      <c r="U489" s="3"/>
      <c r="V489" s="4"/>
    </row>
    <row r="490" spans="1:22" x14ac:dyDescent="0.2">
      <c r="A490" s="16" t="s">
        <v>578</v>
      </c>
      <c r="B490" s="16">
        <v>3562</v>
      </c>
      <c r="C490" s="15" t="s">
        <v>2</v>
      </c>
      <c r="D490" s="15" t="s">
        <v>1</v>
      </c>
      <c r="E490" s="15" t="s">
        <v>92</v>
      </c>
      <c r="F490" s="15" t="s">
        <v>96</v>
      </c>
      <c r="G490" s="15"/>
      <c r="H490" s="17" t="str" cm="1">
        <f t="array" ref="H490">Reverse2_6(O490)</f>
        <v>00-010101</v>
      </c>
      <c r="I490" s="18" cm="1">
        <f t="array" ref="I490">HEX2DEC(Reverse(P490))</f>
        <v>93631153</v>
      </c>
      <c r="J490" s="18" cm="1">
        <f t="array" ref="J490">IF(Q490&lt;&gt;0, HEX2DEC(Reverse(Q490))-$I490,"")</f>
        <v>215</v>
      </c>
      <c r="K490" s="18" cm="1">
        <f t="array" ref="K490">IF(R490&lt;&gt;0, HEX2DEC(Reverse(R490))-$I490,"")</f>
        <v>25</v>
      </c>
      <c r="L490" s="18" cm="1">
        <f t="array" ref="L490">IF(S490&lt;&gt;0, HEX2DEC(Reverse(S490))-$I490,"")</f>
        <v>214</v>
      </c>
      <c r="M490" s="18" cm="1">
        <f t="array" ref="M490">IF(T490&lt;&gt;0, HEX2DEC(Reverse(T490))-$I490,"")</f>
        <v>26</v>
      </c>
      <c r="O490" s="3">
        <v>1010100</v>
      </c>
      <c r="P490" s="3" t="s">
        <v>114</v>
      </c>
      <c r="Q490" s="3" t="s">
        <v>1410</v>
      </c>
      <c r="R490" s="32" t="s">
        <v>908</v>
      </c>
      <c r="S490" s="3" t="s">
        <v>1407</v>
      </c>
      <c r="T490" s="3" t="s">
        <v>911</v>
      </c>
      <c r="U490" s="3">
        <v>31313131</v>
      </c>
      <c r="V490" s="4" t="s">
        <v>1411</v>
      </c>
    </row>
    <row r="491" spans="1:22" x14ac:dyDescent="0.2">
      <c r="A491" s="16" t="s">
        <v>579</v>
      </c>
      <c r="B491" s="16">
        <v>3563</v>
      </c>
      <c r="C491" s="15" t="s">
        <v>2</v>
      </c>
      <c r="D491" s="15" t="s">
        <v>1</v>
      </c>
      <c r="E491" s="15" t="s">
        <v>92</v>
      </c>
      <c r="F491" s="15" t="s">
        <v>96</v>
      </c>
      <c r="G491" s="15"/>
      <c r="H491" s="17" t="str" cm="1">
        <f t="array" ref="H491">Reverse2_6(O491)</f>
        <v>00-010101</v>
      </c>
      <c r="I491" s="18" cm="1">
        <f t="array" ref="I491">HEX2DEC(Reverse(P491))</f>
        <v>93631153</v>
      </c>
      <c r="J491" s="18" cm="1">
        <f t="array" ref="J491">IF(Q491&lt;&gt;0, HEX2DEC(Reverse(Q491))-$I491,"")</f>
        <v>216</v>
      </c>
      <c r="K491" s="18" cm="1">
        <f t="array" ref="K491">IF(R491&lt;&gt;0, HEX2DEC(Reverse(R491))-$I491,"")</f>
        <v>25</v>
      </c>
      <c r="L491" s="18" cm="1">
        <f t="array" ref="L491">IF(S491&lt;&gt;0, HEX2DEC(Reverse(S491))-$I491,"")</f>
        <v>215</v>
      </c>
      <c r="M491" s="18" cm="1">
        <f t="array" ref="M491">IF(T491&lt;&gt;0, HEX2DEC(Reverse(T491))-$I491,"")</f>
        <v>26</v>
      </c>
      <c r="O491" s="3">
        <v>1010100</v>
      </c>
      <c r="P491" s="3" t="s">
        <v>114</v>
      </c>
      <c r="Q491" s="3" t="s">
        <v>1412</v>
      </c>
      <c r="R491" s="32" t="s">
        <v>908</v>
      </c>
      <c r="S491" s="3" t="s">
        <v>1410</v>
      </c>
      <c r="T491" s="3" t="s">
        <v>911</v>
      </c>
      <c r="U491" s="3" t="s">
        <v>1413</v>
      </c>
      <c r="V491" s="4" t="s">
        <v>1414</v>
      </c>
    </row>
    <row r="492" spans="1:22" x14ac:dyDescent="0.2">
      <c r="A492" s="16" t="s">
        <v>580</v>
      </c>
      <c r="B492" s="16">
        <v>3564</v>
      </c>
      <c r="C492" s="15" t="s">
        <v>2</v>
      </c>
      <c r="D492" s="15" t="s">
        <v>1</v>
      </c>
      <c r="E492" s="15" t="s">
        <v>92</v>
      </c>
      <c r="F492" s="15" t="s">
        <v>885</v>
      </c>
      <c r="G492" s="15"/>
      <c r="H492" s="17" t="str" cm="1">
        <f t="array" ref="H492">Reverse2_6(O492)</f>
        <v>00-010101</v>
      </c>
      <c r="I492" s="18" cm="1">
        <f t="array" ref="I492">HEX2DEC(Reverse(P492))</f>
        <v>93631153</v>
      </c>
      <c r="J492" s="18" cm="1">
        <f t="array" ref="J492">IF(Q492&lt;&gt;0, HEX2DEC(Reverse(Q492))-$I492,"")</f>
        <v>217</v>
      </c>
      <c r="K492" s="18" cm="1">
        <f t="array" ref="K492">IF(R492&lt;&gt;0, HEX2DEC(Reverse(R492))-$I492,"")</f>
        <v>25</v>
      </c>
      <c r="L492" s="18" cm="1">
        <f t="array" ref="L492">IF(S492&lt;&gt;0, HEX2DEC(Reverse(S492))-$I492,"")</f>
        <v>216</v>
      </c>
      <c r="M492" s="18" cm="1">
        <f t="array" ref="M492">IF(T492&lt;&gt;0, HEX2DEC(Reverse(T492))-$I492,"")</f>
        <v>26</v>
      </c>
      <c r="O492" s="3">
        <v>1010100</v>
      </c>
      <c r="P492" s="3" t="s">
        <v>114</v>
      </c>
      <c r="Q492" s="3" t="s">
        <v>1415</v>
      </c>
      <c r="R492" s="32" t="s">
        <v>908</v>
      </c>
      <c r="S492" s="3" t="s">
        <v>1412</v>
      </c>
      <c r="T492" s="3" t="s">
        <v>911</v>
      </c>
      <c r="U492" s="3" t="s">
        <v>1416</v>
      </c>
      <c r="V492" s="4" t="s">
        <v>1417</v>
      </c>
    </row>
    <row r="493" spans="1:22" x14ac:dyDescent="0.2">
      <c r="A493" s="20" t="s">
        <v>581</v>
      </c>
      <c r="B493" s="20">
        <v>3565</v>
      </c>
      <c r="C493" s="21" t="s">
        <v>1</v>
      </c>
      <c r="D493" s="21" t="s">
        <v>2</v>
      </c>
      <c r="E493" s="21" t="s">
        <v>90</v>
      </c>
      <c r="F493" s="21" t="s">
        <v>94</v>
      </c>
      <c r="G493" s="21" t="s">
        <v>1778</v>
      </c>
      <c r="H493" s="22" t="str" cm="1">
        <f t="array" ref="H493">Reverse2_6(O493)</f>
        <v>00-010201</v>
      </c>
      <c r="I493" s="45" cm="1">
        <f t="array" ref="I493">HEX2DEC(Reverse(P493))</f>
        <v>93631153</v>
      </c>
      <c r="J493" s="45" cm="1">
        <f t="array" ref="J493">IF(Q493&lt;&gt;0, HEX2DEC(Reverse(Q493))-$I493,"")</f>
        <v>26</v>
      </c>
      <c r="K493" s="45" cm="1">
        <f t="array" ref="K493">IF(R493&lt;&gt;0, HEX2DEC(Reverse(R493))-$I493,"")</f>
        <v>215</v>
      </c>
      <c r="L493" s="45" t="str" cm="1">
        <f t="array" ref="L493">IF(S493&lt;&gt;0, HEX2DEC(Reverse(S493))-$I493,"")</f>
        <v/>
      </c>
      <c r="M493" s="45" cm="1">
        <f t="array" ref="M493">IF(T493&lt;&gt;0, HEX2DEC(Reverse(T493))-$I493,"")</f>
        <v>214</v>
      </c>
      <c r="O493" s="3">
        <v>1020100</v>
      </c>
      <c r="P493" s="3" t="s">
        <v>114</v>
      </c>
      <c r="Q493" s="3" t="s">
        <v>911</v>
      </c>
      <c r="R493" s="3" t="s">
        <v>1410</v>
      </c>
      <c r="S493" s="3">
        <v>0</v>
      </c>
      <c r="T493" s="3" t="s">
        <v>1407</v>
      </c>
      <c r="U493" s="3"/>
      <c r="V493" s="4"/>
    </row>
    <row r="494" spans="1:22" x14ac:dyDescent="0.2">
      <c r="A494" s="20" t="s">
        <v>582</v>
      </c>
      <c r="B494" s="20">
        <v>3566</v>
      </c>
      <c r="C494" s="21" t="s">
        <v>1</v>
      </c>
      <c r="D494" s="21" t="s">
        <v>2</v>
      </c>
      <c r="E494" s="21" t="s">
        <v>90</v>
      </c>
      <c r="F494" s="21" t="s">
        <v>94</v>
      </c>
      <c r="G494" s="21" t="s">
        <v>1778</v>
      </c>
      <c r="H494" s="22" t="str" cm="1">
        <f t="array" ref="H494">Reverse2_6(O494)</f>
        <v>00-010201</v>
      </c>
      <c r="I494" s="45" cm="1">
        <f t="array" ref="I494">HEX2DEC(Reverse(P494))</f>
        <v>93631153</v>
      </c>
      <c r="J494" s="45" cm="1">
        <f t="array" ref="J494">IF(Q494&lt;&gt;0, HEX2DEC(Reverse(Q494))-$I494,"")</f>
        <v>26</v>
      </c>
      <c r="K494" s="45" cm="1">
        <f t="array" ref="K494">IF(R494&lt;&gt;0, HEX2DEC(Reverse(R494))-$I494,"")</f>
        <v>216</v>
      </c>
      <c r="L494" s="45" t="str" cm="1">
        <f t="array" ref="L494">IF(S494&lt;&gt;0, HEX2DEC(Reverse(S494))-$I494,"")</f>
        <v/>
      </c>
      <c r="M494" s="45" cm="1">
        <f t="array" ref="M494">IF(T494&lt;&gt;0, HEX2DEC(Reverse(T494))-$I494,"")</f>
        <v>215</v>
      </c>
      <c r="O494" s="3">
        <v>1020100</v>
      </c>
      <c r="P494" s="3" t="s">
        <v>114</v>
      </c>
      <c r="Q494" s="3" t="s">
        <v>911</v>
      </c>
      <c r="R494" s="3" t="s">
        <v>1412</v>
      </c>
      <c r="S494" s="3">
        <v>0</v>
      </c>
      <c r="T494" s="3" t="s">
        <v>1410</v>
      </c>
      <c r="U494" s="3"/>
      <c r="V494" s="4"/>
    </row>
    <row r="495" spans="1:22" x14ac:dyDescent="0.2">
      <c r="A495" s="20" t="s">
        <v>583</v>
      </c>
      <c r="B495" s="20">
        <v>3567</v>
      </c>
      <c r="C495" s="21" t="s">
        <v>1</v>
      </c>
      <c r="D495" s="21" t="s">
        <v>2</v>
      </c>
      <c r="E495" s="21" t="s">
        <v>90</v>
      </c>
      <c r="F495" s="21" t="s">
        <v>94</v>
      </c>
      <c r="G495" s="21" t="s">
        <v>1778</v>
      </c>
      <c r="H495" s="22" t="str" cm="1">
        <f t="array" ref="H495">Reverse2_6(O495)</f>
        <v>00-010201</v>
      </c>
      <c r="I495" s="45" cm="1">
        <f t="array" ref="I495">HEX2DEC(Reverse(P495))</f>
        <v>93631153</v>
      </c>
      <c r="J495" s="45" cm="1">
        <f t="array" ref="J495">IF(Q495&lt;&gt;0, HEX2DEC(Reverse(Q495))-$I495,"")</f>
        <v>26</v>
      </c>
      <c r="K495" s="45" cm="1">
        <f t="array" ref="K495">IF(R495&lt;&gt;0, HEX2DEC(Reverse(R495))-$I495,"")</f>
        <v>217</v>
      </c>
      <c r="L495" s="45" t="str" cm="1">
        <f t="array" ref="L495">IF(S495&lt;&gt;0, HEX2DEC(Reverse(S495))-$I495,"")</f>
        <v/>
      </c>
      <c r="M495" s="45" cm="1">
        <f t="array" ref="M495">IF(T495&lt;&gt;0, HEX2DEC(Reverse(T495))-$I495,"")</f>
        <v>216</v>
      </c>
      <c r="O495" s="3">
        <v>1020100</v>
      </c>
      <c r="P495" s="3" t="s">
        <v>114</v>
      </c>
      <c r="Q495" s="3" t="s">
        <v>911</v>
      </c>
      <c r="R495" s="3" t="s">
        <v>1415</v>
      </c>
      <c r="S495" s="3">
        <v>0</v>
      </c>
      <c r="T495" s="3" t="s">
        <v>1412</v>
      </c>
      <c r="U495" s="3"/>
      <c r="V495" s="4"/>
    </row>
    <row r="496" spans="1:22" x14ac:dyDescent="0.2">
      <c r="A496" s="16" t="s">
        <v>584</v>
      </c>
      <c r="B496" s="16">
        <v>3572</v>
      </c>
      <c r="C496" s="15" t="s">
        <v>2</v>
      </c>
      <c r="D496" s="15" t="s">
        <v>1</v>
      </c>
      <c r="E496" s="15" t="s">
        <v>92</v>
      </c>
      <c r="F496" s="15" t="s">
        <v>96</v>
      </c>
      <c r="G496" s="15"/>
      <c r="H496" s="17" t="str" cm="1">
        <f t="array" ref="H496">Reverse2_6(O496)</f>
        <v>00-010101</v>
      </c>
      <c r="I496" s="18" cm="1">
        <f t="array" ref="I496">HEX2DEC(Reverse(P496))</f>
        <v>93631153</v>
      </c>
      <c r="J496" s="18" cm="1">
        <f t="array" ref="J496">IF(Q496&lt;&gt;0, HEX2DEC(Reverse(Q496))-$I496,"")</f>
        <v>218</v>
      </c>
      <c r="K496" s="18" cm="1">
        <f t="array" ref="K496">IF(R496&lt;&gt;0, HEX2DEC(Reverse(R496))-$I496,"")</f>
        <v>25</v>
      </c>
      <c r="L496" s="18" cm="1">
        <f t="array" ref="L496">IF(S496&lt;&gt;0, HEX2DEC(Reverse(S496))-$I496,"")</f>
        <v>217</v>
      </c>
      <c r="M496" s="18" cm="1">
        <f t="array" ref="M496">IF(T496&lt;&gt;0, HEX2DEC(Reverse(T496))-$I496,"")</f>
        <v>26</v>
      </c>
      <c r="O496" s="3">
        <v>1010100</v>
      </c>
      <c r="P496" s="3" t="s">
        <v>114</v>
      </c>
      <c r="Q496" s="3" t="s">
        <v>1418</v>
      </c>
      <c r="R496" s="32" t="s">
        <v>908</v>
      </c>
      <c r="S496" s="3" t="s">
        <v>1415</v>
      </c>
      <c r="T496" s="3" t="s">
        <v>911</v>
      </c>
      <c r="U496" s="3">
        <v>31313131</v>
      </c>
      <c r="V496" s="4" t="s">
        <v>1419</v>
      </c>
    </row>
    <row r="497" spans="1:22" x14ac:dyDescent="0.2">
      <c r="A497" s="16" t="s">
        <v>585</v>
      </c>
      <c r="B497" s="16">
        <v>3573</v>
      </c>
      <c r="C497" s="15" t="s">
        <v>2</v>
      </c>
      <c r="D497" s="15" t="s">
        <v>1</v>
      </c>
      <c r="E497" s="15" t="s">
        <v>92</v>
      </c>
      <c r="F497" s="15" t="s">
        <v>96</v>
      </c>
      <c r="G497" s="15"/>
      <c r="H497" s="17" t="str" cm="1">
        <f t="array" ref="H497">Reverse2_6(O497)</f>
        <v>00-010101</v>
      </c>
      <c r="I497" s="18" cm="1">
        <f t="array" ref="I497">HEX2DEC(Reverse(P497))</f>
        <v>93631153</v>
      </c>
      <c r="J497" s="18" cm="1">
        <f t="array" ref="J497">IF(Q497&lt;&gt;0, HEX2DEC(Reverse(Q497))-$I497,"")</f>
        <v>219</v>
      </c>
      <c r="K497" s="18" cm="1">
        <f t="array" ref="K497">IF(R497&lt;&gt;0, HEX2DEC(Reverse(R497))-$I497,"")</f>
        <v>25</v>
      </c>
      <c r="L497" s="18" cm="1">
        <f t="array" ref="L497">IF(S497&lt;&gt;0, HEX2DEC(Reverse(S497))-$I497,"")</f>
        <v>218</v>
      </c>
      <c r="M497" s="18" cm="1">
        <f t="array" ref="M497">IF(T497&lt;&gt;0, HEX2DEC(Reverse(T497))-$I497,"")</f>
        <v>26</v>
      </c>
      <c r="O497" s="3">
        <v>1010100</v>
      </c>
      <c r="P497" s="3" t="s">
        <v>114</v>
      </c>
      <c r="Q497" s="3" t="s">
        <v>1420</v>
      </c>
      <c r="R497" s="32" t="s">
        <v>908</v>
      </c>
      <c r="S497" s="3" t="s">
        <v>1418</v>
      </c>
      <c r="T497" s="3" t="s">
        <v>911</v>
      </c>
      <c r="U497" s="3" t="s">
        <v>1421</v>
      </c>
      <c r="V497" s="4" t="s">
        <v>1422</v>
      </c>
    </row>
    <row r="498" spans="1:22" x14ac:dyDescent="0.2">
      <c r="A498" s="16" t="s">
        <v>586</v>
      </c>
      <c r="B498" s="16">
        <v>3574</v>
      </c>
      <c r="C498" s="15" t="s">
        <v>2</v>
      </c>
      <c r="D498" s="15" t="s">
        <v>1</v>
      </c>
      <c r="E498" s="15" t="s">
        <v>92</v>
      </c>
      <c r="F498" s="15" t="s">
        <v>886</v>
      </c>
      <c r="G498" s="15"/>
      <c r="H498" s="17" t="str" cm="1">
        <f t="array" ref="H498">Reverse2_6(O498)</f>
        <v>00-010101</v>
      </c>
      <c r="I498" s="18" cm="1">
        <f t="array" ref="I498">HEX2DEC(Reverse(P498))</f>
        <v>93631153</v>
      </c>
      <c r="J498" s="18" cm="1">
        <f t="array" ref="J498">IF(Q498&lt;&gt;0, HEX2DEC(Reverse(Q498))-$I498,"")</f>
        <v>220</v>
      </c>
      <c r="K498" s="18" cm="1">
        <f t="array" ref="K498">IF(R498&lt;&gt;0, HEX2DEC(Reverse(R498))-$I498,"")</f>
        <v>25</v>
      </c>
      <c r="L498" s="18" cm="1">
        <f t="array" ref="L498">IF(S498&lt;&gt;0, HEX2DEC(Reverse(S498))-$I498,"")</f>
        <v>219</v>
      </c>
      <c r="M498" s="18" cm="1">
        <f t="array" ref="M498">IF(T498&lt;&gt;0, HEX2DEC(Reverse(T498))-$I498,"")</f>
        <v>26</v>
      </c>
      <c r="O498" s="3">
        <v>1010100</v>
      </c>
      <c r="P498" s="3" t="s">
        <v>114</v>
      </c>
      <c r="Q498" s="3" t="s">
        <v>1423</v>
      </c>
      <c r="R498" s="32" t="s">
        <v>908</v>
      </c>
      <c r="S498" s="3" t="s">
        <v>1420</v>
      </c>
      <c r="T498" s="3" t="s">
        <v>911</v>
      </c>
      <c r="U498" s="3" t="s">
        <v>1424</v>
      </c>
      <c r="V498" s="4" t="s">
        <v>1425</v>
      </c>
    </row>
    <row r="499" spans="1:22" x14ac:dyDescent="0.2">
      <c r="A499" s="20" t="s">
        <v>587</v>
      </c>
      <c r="B499" s="20">
        <v>3575</v>
      </c>
      <c r="C499" s="21" t="s">
        <v>1</v>
      </c>
      <c r="D499" s="21" t="s">
        <v>2</v>
      </c>
      <c r="E499" s="21" t="s">
        <v>90</v>
      </c>
      <c r="F499" s="21" t="s">
        <v>94</v>
      </c>
      <c r="G499" s="21" t="s">
        <v>1778</v>
      </c>
      <c r="H499" s="22" t="str" cm="1">
        <f t="array" ref="H499">Reverse2_6(O499)</f>
        <v>00-010201</v>
      </c>
      <c r="I499" s="45" cm="1">
        <f t="array" ref="I499">HEX2DEC(Reverse(P499))</f>
        <v>93631153</v>
      </c>
      <c r="J499" s="45" cm="1">
        <f t="array" ref="J499">IF(Q499&lt;&gt;0, HEX2DEC(Reverse(Q499))-$I499,"")</f>
        <v>26</v>
      </c>
      <c r="K499" s="45" cm="1">
        <f t="array" ref="K499">IF(R499&lt;&gt;0, HEX2DEC(Reverse(R499))-$I499,"")</f>
        <v>218</v>
      </c>
      <c r="L499" s="45" t="str" cm="1">
        <f t="array" ref="L499">IF(S499&lt;&gt;0, HEX2DEC(Reverse(S499))-$I499,"")</f>
        <v/>
      </c>
      <c r="M499" s="45" cm="1">
        <f t="array" ref="M499">IF(T499&lt;&gt;0, HEX2DEC(Reverse(T499))-$I499,"")</f>
        <v>217</v>
      </c>
      <c r="O499" s="3">
        <v>1020100</v>
      </c>
      <c r="P499" s="3" t="s">
        <v>114</v>
      </c>
      <c r="Q499" s="3" t="s">
        <v>911</v>
      </c>
      <c r="R499" s="3" t="s">
        <v>1418</v>
      </c>
      <c r="S499" s="3">
        <v>0</v>
      </c>
      <c r="T499" s="3" t="s">
        <v>1415</v>
      </c>
      <c r="U499" s="3"/>
      <c r="V499" s="4"/>
    </row>
    <row r="500" spans="1:22" x14ac:dyDescent="0.2">
      <c r="A500" s="20" t="s">
        <v>588</v>
      </c>
      <c r="B500" s="20">
        <v>3576</v>
      </c>
      <c r="C500" s="21" t="s">
        <v>1</v>
      </c>
      <c r="D500" s="21" t="s">
        <v>2</v>
      </c>
      <c r="E500" s="21" t="s">
        <v>90</v>
      </c>
      <c r="F500" s="21" t="s">
        <v>94</v>
      </c>
      <c r="G500" s="21" t="s">
        <v>1778</v>
      </c>
      <c r="H500" s="22" t="str" cm="1">
        <f t="array" ref="H500">Reverse2_6(O500)</f>
        <v>00-010201</v>
      </c>
      <c r="I500" s="45" cm="1">
        <f t="array" ref="I500">HEX2DEC(Reverse(P500))</f>
        <v>93631153</v>
      </c>
      <c r="J500" s="45" cm="1">
        <f t="array" ref="J500">IF(Q500&lt;&gt;0, HEX2DEC(Reverse(Q500))-$I500,"")</f>
        <v>26</v>
      </c>
      <c r="K500" s="45" cm="1">
        <f t="array" ref="K500">IF(R500&lt;&gt;0, HEX2DEC(Reverse(R500))-$I500,"")</f>
        <v>219</v>
      </c>
      <c r="L500" s="45" t="str" cm="1">
        <f t="array" ref="L500">IF(S500&lt;&gt;0, HEX2DEC(Reverse(S500))-$I500,"")</f>
        <v/>
      </c>
      <c r="M500" s="45" cm="1">
        <f t="array" ref="M500">IF(T500&lt;&gt;0, HEX2DEC(Reverse(T500))-$I500,"")</f>
        <v>218</v>
      </c>
      <c r="O500" s="3">
        <v>1020100</v>
      </c>
      <c r="P500" s="3" t="s">
        <v>114</v>
      </c>
      <c r="Q500" s="3" t="s">
        <v>911</v>
      </c>
      <c r="R500" s="3" t="s">
        <v>1420</v>
      </c>
      <c r="S500" s="3">
        <v>0</v>
      </c>
      <c r="T500" s="3" t="s">
        <v>1418</v>
      </c>
      <c r="U500" s="3"/>
      <c r="V500" s="4"/>
    </row>
    <row r="501" spans="1:22" x14ac:dyDescent="0.2">
      <c r="A501" s="20" t="s">
        <v>589</v>
      </c>
      <c r="B501" s="20">
        <v>3577</v>
      </c>
      <c r="C501" s="21" t="s">
        <v>1</v>
      </c>
      <c r="D501" s="21" t="s">
        <v>2</v>
      </c>
      <c r="E501" s="21" t="s">
        <v>90</v>
      </c>
      <c r="F501" s="21" t="s">
        <v>94</v>
      </c>
      <c r="G501" s="21" t="s">
        <v>1778</v>
      </c>
      <c r="H501" s="22" t="str" cm="1">
        <f t="array" ref="H501">Reverse2_6(O501)</f>
        <v>00-010201</v>
      </c>
      <c r="I501" s="45" cm="1">
        <f t="array" ref="I501">HEX2DEC(Reverse(P501))</f>
        <v>93631153</v>
      </c>
      <c r="J501" s="45" cm="1">
        <f t="array" ref="J501">IF(Q501&lt;&gt;0, HEX2DEC(Reverse(Q501))-$I501,"")</f>
        <v>26</v>
      </c>
      <c r="K501" s="45" cm="1">
        <f t="array" ref="K501">IF(R501&lt;&gt;0, HEX2DEC(Reverse(R501))-$I501,"")</f>
        <v>220</v>
      </c>
      <c r="L501" s="45" t="str" cm="1">
        <f t="array" ref="L501">IF(S501&lt;&gt;0, HEX2DEC(Reverse(S501))-$I501,"")</f>
        <v/>
      </c>
      <c r="M501" s="45" cm="1">
        <f t="array" ref="M501">IF(T501&lt;&gt;0, HEX2DEC(Reverse(T501))-$I501,"")</f>
        <v>219</v>
      </c>
      <c r="O501" s="3">
        <v>1020100</v>
      </c>
      <c r="P501" s="3" t="s">
        <v>114</v>
      </c>
      <c r="Q501" s="3" t="s">
        <v>911</v>
      </c>
      <c r="R501" s="3" t="s">
        <v>1423</v>
      </c>
      <c r="S501" s="3">
        <v>0</v>
      </c>
      <c r="T501" s="3" t="s">
        <v>1420</v>
      </c>
      <c r="U501" s="3"/>
      <c r="V501" s="4"/>
    </row>
    <row r="502" spans="1:22" x14ac:dyDescent="0.2">
      <c r="A502" s="16" t="s">
        <v>590</v>
      </c>
      <c r="B502" s="16">
        <v>3585</v>
      </c>
      <c r="C502" s="15" t="s">
        <v>2</v>
      </c>
      <c r="D502" s="15" t="s">
        <v>1</v>
      </c>
      <c r="E502" s="15" t="s">
        <v>92</v>
      </c>
      <c r="F502" s="15" t="s">
        <v>96</v>
      </c>
      <c r="G502" s="15"/>
      <c r="H502" s="17" t="str" cm="1">
        <f t="array" ref="H502">Reverse2_6(O502)</f>
        <v>00-010101</v>
      </c>
      <c r="I502" s="18" cm="1">
        <f t="array" ref="I502">HEX2DEC(Reverse(P502))</f>
        <v>93631153</v>
      </c>
      <c r="J502" s="18" cm="1">
        <f t="array" ref="J502">IF(Q502&lt;&gt;0, HEX2DEC(Reverse(Q502))-$I502,"")</f>
        <v>221</v>
      </c>
      <c r="K502" s="18" cm="1">
        <f t="array" ref="K502">IF(R502&lt;&gt;0, HEX2DEC(Reverse(R502))-$I502,"")</f>
        <v>25</v>
      </c>
      <c r="L502" s="18" cm="1">
        <f t="array" ref="L502">IF(S502&lt;&gt;0, HEX2DEC(Reverse(S502))-$I502,"")</f>
        <v>220</v>
      </c>
      <c r="M502" s="18" cm="1">
        <f t="array" ref="M502">IF(T502&lt;&gt;0, HEX2DEC(Reverse(T502))-$I502,"")</f>
        <v>26</v>
      </c>
      <c r="O502" s="3">
        <v>1010100</v>
      </c>
      <c r="P502" s="3" t="s">
        <v>114</v>
      </c>
      <c r="Q502" s="3" t="s">
        <v>1426</v>
      </c>
      <c r="R502" s="32" t="s">
        <v>908</v>
      </c>
      <c r="S502" s="3" t="s">
        <v>1423</v>
      </c>
      <c r="T502" s="3" t="s">
        <v>911</v>
      </c>
      <c r="U502" s="3">
        <v>31313131</v>
      </c>
      <c r="V502" s="4" t="s">
        <v>1427</v>
      </c>
    </row>
    <row r="503" spans="1:22" x14ac:dyDescent="0.2">
      <c r="A503" s="16" t="s">
        <v>591</v>
      </c>
      <c r="B503" s="16">
        <v>3586</v>
      </c>
      <c r="C503" s="15" t="s">
        <v>2</v>
      </c>
      <c r="D503" s="15" t="s">
        <v>1</v>
      </c>
      <c r="E503" s="15" t="s">
        <v>92</v>
      </c>
      <c r="F503" s="15" t="s">
        <v>887</v>
      </c>
      <c r="G503" s="15"/>
      <c r="H503" s="17" t="str" cm="1">
        <f t="array" ref="H503">Reverse2_6(O503)</f>
        <v>00-010101</v>
      </c>
      <c r="I503" s="18" cm="1">
        <f t="array" ref="I503">HEX2DEC(Reverse(P503))</f>
        <v>93631153</v>
      </c>
      <c r="J503" s="18" cm="1">
        <f t="array" ref="J503">IF(Q503&lt;&gt;0, HEX2DEC(Reverse(Q503))-$I503,"")</f>
        <v>222</v>
      </c>
      <c r="K503" s="18" cm="1">
        <f t="array" ref="K503">IF(R503&lt;&gt;0, HEX2DEC(Reverse(R503))-$I503,"")</f>
        <v>25</v>
      </c>
      <c r="L503" s="18" cm="1">
        <f t="array" ref="L503">IF(S503&lt;&gt;0, HEX2DEC(Reverse(S503))-$I503,"")</f>
        <v>221</v>
      </c>
      <c r="M503" s="18" cm="1">
        <f t="array" ref="M503">IF(T503&lt;&gt;0, HEX2DEC(Reverse(T503))-$I503,"")</f>
        <v>26</v>
      </c>
      <c r="O503" s="3">
        <v>1010100</v>
      </c>
      <c r="P503" s="3" t="s">
        <v>114</v>
      </c>
      <c r="Q503" s="3" t="s">
        <v>1428</v>
      </c>
      <c r="R503" s="32" t="s">
        <v>908</v>
      </c>
      <c r="S503" s="3" t="s">
        <v>1426</v>
      </c>
      <c r="T503" s="3" t="s">
        <v>911</v>
      </c>
      <c r="U503" s="3" t="s">
        <v>1429</v>
      </c>
      <c r="V503" s="4" t="s">
        <v>1430</v>
      </c>
    </row>
    <row r="504" spans="1:22" x14ac:dyDescent="0.2">
      <c r="A504" s="20" t="s">
        <v>592</v>
      </c>
      <c r="B504" s="20">
        <v>3588</v>
      </c>
      <c r="C504" s="21" t="s">
        <v>1</v>
      </c>
      <c r="D504" s="21" t="s">
        <v>2</v>
      </c>
      <c r="E504" s="21" t="s">
        <v>90</v>
      </c>
      <c r="F504" s="21" t="s">
        <v>94</v>
      </c>
      <c r="G504" s="21" t="s">
        <v>1778</v>
      </c>
      <c r="H504" s="22" t="str" cm="1">
        <f t="array" ref="H504">Reverse2_6(O504)</f>
        <v>00-010201</v>
      </c>
      <c r="I504" s="45" cm="1">
        <f t="array" ref="I504">HEX2DEC(Reverse(P504))</f>
        <v>93631153</v>
      </c>
      <c r="J504" s="45" cm="1">
        <f t="array" ref="J504">IF(Q504&lt;&gt;0, HEX2DEC(Reverse(Q504))-$I504,"")</f>
        <v>26</v>
      </c>
      <c r="K504" s="45" cm="1">
        <f t="array" ref="K504">IF(R504&lt;&gt;0, HEX2DEC(Reverse(R504))-$I504,"")</f>
        <v>221</v>
      </c>
      <c r="L504" s="45" t="str" cm="1">
        <f t="array" ref="L504">IF(S504&lt;&gt;0, HEX2DEC(Reverse(S504))-$I504,"")</f>
        <v/>
      </c>
      <c r="M504" s="45" cm="1">
        <f t="array" ref="M504">IF(T504&lt;&gt;0, HEX2DEC(Reverse(T504))-$I504,"")</f>
        <v>220</v>
      </c>
      <c r="O504" s="3">
        <v>1020100</v>
      </c>
      <c r="P504" s="3" t="s">
        <v>114</v>
      </c>
      <c r="Q504" s="3" t="s">
        <v>911</v>
      </c>
      <c r="R504" s="3" t="s">
        <v>1426</v>
      </c>
      <c r="S504" s="3">
        <v>0</v>
      </c>
      <c r="T504" s="3" t="s">
        <v>1423</v>
      </c>
      <c r="U504" s="3"/>
      <c r="V504" s="4"/>
    </row>
    <row r="505" spans="1:22" x14ac:dyDescent="0.2">
      <c r="A505" s="20" t="s">
        <v>593</v>
      </c>
      <c r="B505" s="20">
        <v>3589</v>
      </c>
      <c r="C505" s="21" t="s">
        <v>1</v>
      </c>
      <c r="D505" s="21" t="s">
        <v>2</v>
      </c>
      <c r="E505" s="21" t="s">
        <v>90</v>
      </c>
      <c r="F505" s="21" t="s">
        <v>94</v>
      </c>
      <c r="G505" s="21" t="s">
        <v>1778</v>
      </c>
      <c r="H505" s="22" t="str" cm="1">
        <f t="array" ref="H505">Reverse2_6(O505)</f>
        <v>00-010201</v>
      </c>
      <c r="I505" s="45" cm="1">
        <f t="array" ref="I505">HEX2DEC(Reverse(P505))</f>
        <v>93631153</v>
      </c>
      <c r="J505" s="45" cm="1">
        <f t="array" ref="J505">IF(Q505&lt;&gt;0, HEX2DEC(Reverse(Q505))-$I505,"")</f>
        <v>26</v>
      </c>
      <c r="K505" s="45" cm="1">
        <f t="array" ref="K505">IF(R505&lt;&gt;0, HEX2DEC(Reverse(R505))-$I505,"")</f>
        <v>222</v>
      </c>
      <c r="L505" s="45" t="str" cm="1">
        <f t="array" ref="L505">IF(S505&lt;&gt;0, HEX2DEC(Reverse(S505))-$I505,"")</f>
        <v/>
      </c>
      <c r="M505" s="45" cm="1">
        <f t="array" ref="M505">IF(T505&lt;&gt;0, HEX2DEC(Reverse(T505))-$I505,"")</f>
        <v>221</v>
      </c>
      <c r="O505" s="3">
        <v>1020100</v>
      </c>
      <c r="P505" s="3" t="s">
        <v>114</v>
      </c>
      <c r="Q505" s="3" t="s">
        <v>911</v>
      </c>
      <c r="R505" s="3" t="s">
        <v>1428</v>
      </c>
      <c r="S505" s="3">
        <v>0</v>
      </c>
      <c r="T505" s="3" t="s">
        <v>1426</v>
      </c>
      <c r="U505" s="3"/>
      <c r="V505" s="4"/>
    </row>
    <row r="506" spans="1:22" x14ac:dyDescent="0.2">
      <c r="A506" s="16" t="s">
        <v>594</v>
      </c>
      <c r="B506" s="16">
        <v>3592</v>
      </c>
      <c r="C506" s="15" t="s">
        <v>2</v>
      </c>
      <c r="D506" s="15" t="s">
        <v>1</v>
      </c>
      <c r="E506" s="15" t="s">
        <v>92</v>
      </c>
      <c r="F506" s="15" t="s">
        <v>869</v>
      </c>
      <c r="G506" s="15"/>
      <c r="H506" s="17" t="str" cm="1">
        <f t="array" ref="H506">Reverse2_6(O506)</f>
        <v>00-010101</v>
      </c>
      <c r="I506" s="18" cm="1">
        <f t="array" ref="I506">HEX2DEC(Reverse(P506))</f>
        <v>93631153</v>
      </c>
      <c r="J506" s="18" cm="1">
        <f t="array" ref="J506">IF(Q506&lt;&gt;0, HEX2DEC(Reverse(Q506))-$I506,"")</f>
        <v>223</v>
      </c>
      <c r="K506" s="18" cm="1">
        <f t="array" ref="K506">IF(R506&lt;&gt;0, HEX2DEC(Reverse(R506))-$I506,"")</f>
        <v>25</v>
      </c>
      <c r="L506" s="18" cm="1">
        <f t="array" ref="L506">IF(S506&lt;&gt;0, HEX2DEC(Reverse(S506))-$I506,"")</f>
        <v>222</v>
      </c>
      <c r="M506" s="18" cm="1">
        <f t="array" ref="M506">IF(T506&lt;&gt;0, HEX2DEC(Reverse(T506))-$I506,"")</f>
        <v>26</v>
      </c>
      <c r="O506" s="3">
        <v>1010100</v>
      </c>
      <c r="P506" s="3" t="s">
        <v>114</v>
      </c>
      <c r="Q506" s="3" t="s">
        <v>1431</v>
      </c>
      <c r="R506" s="32" t="s">
        <v>908</v>
      </c>
      <c r="S506" s="3" t="s">
        <v>1428</v>
      </c>
      <c r="T506" s="3" t="s">
        <v>911</v>
      </c>
      <c r="U506" s="3">
        <v>31313131</v>
      </c>
      <c r="V506" s="4" t="s">
        <v>1259</v>
      </c>
    </row>
    <row r="507" spans="1:22" x14ac:dyDescent="0.2">
      <c r="A507" s="46" t="s">
        <v>595</v>
      </c>
      <c r="B507" s="46">
        <v>3593</v>
      </c>
      <c r="C507" s="36" t="s">
        <v>1</v>
      </c>
      <c r="D507" s="36" t="s">
        <v>2</v>
      </c>
      <c r="E507" s="36" t="s">
        <v>90</v>
      </c>
      <c r="F507" s="36" t="s">
        <v>110</v>
      </c>
      <c r="G507" s="36" t="s">
        <v>1753</v>
      </c>
      <c r="H507" s="35" t="str" cm="1">
        <f t="array" ref="H507">Reverse2_6(O507)</f>
        <v>00-010101</v>
      </c>
      <c r="I507" s="44" cm="1">
        <f t="array" ref="I507">HEX2DEC(Reverse(P507))</f>
        <v>93631153</v>
      </c>
      <c r="J507" s="44" cm="1">
        <f t="array" ref="J507">IF(Q507&lt;&gt;0, HEX2DEC(Reverse(Q507))-$I507,"")</f>
        <v>27</v>
      </c>
      <c r="K507" s="44" cm="1">
        <f t="array" ref="K507">IF(R507&lt;&gt;0, HEX2DEC(Reverse(R507))-$I507,"")</f>
        <v>222</v>
      </c>
      <c r="L507" s="44" cm="1">
        <f t="array" ref="L507">IF(S507&lt;&gt;0, HEX2DEC(Reverse(S507))-$I507,"")</f>
        <v>27</v>
      </c>
      <c r="M507" s="44" cm="1">
        <f t="array" ref="M507">IF(T507&lt;&gt;0, HEX2DEC(Reverse(T507))-$I507,"")</f>
        <v>221</v>
      </c>
      <c r="O507" s="3">
        <v>1010100</v>
      </c>
      <c r="P507" s="3" t="s">
        <v>114</v>
      </c>
      <c r="Q507" s="3" t="s">
        <v>913</v>
      </c>
      <c r="R507" s="3" t="s">
        <v>1428</v>
      </c>
      <c r="S507" s="3" t="s">
        <v>913</v>
      </c>
      <c r="T507" s="3" t="s">
        <v>1426</v>
      </c>
      <c r="U507" s="3">
        <v>31313131</v>
      </c>
      <c r="V507" s="4" t="s">
        <v>145</v>
      </c>
    </row>
    <row r="508" spans="1:22" x14ac:dyDescent="0.2">
      <c r="A508" s="46" t="s">
        <v>596</v>
      </c>
      <c r="B508" s="46">
        <v>3594</v>
      </c>
      <c r="C508" s="36" t="s">
        <v>1</v>
      </c>
      <c r="D508" s="36" t="s">
        <v>2</v>
      </c>
      <c r="E508" s="36" t="s">
        <v>90</v>
      </c>
      <c r="F508" s="36" t="s">
        <v>106</v>
      </c>
      <c r="G508" s="36"/>
      <c r="H508" s="35" t="str" cm="1">
        <f t="array" ref="H508">Reverse2_6(O508)</f>
        <v>00-010101</v>
      </c>
      <c r="I508" s="44" cm="1">
        <f t="array" ref="I508">HEX2DEC(Reverse(P508))</f>
        <v>93631153</v>
      </c>
      <c r="J508" s="44" cm="1">
        <f t="array" ref="J508">IF(Q508&lt;&gt;0, HEX2DEC(Reverse(Q508))-$I508,"")</f>
        <v>28</v>
      </c>
      <c r="K508" s="44" cm="1">
        <f t="array" ref="K508">IF(R508&lt;&gt;0, HEX2DEC(Reverse(R508))-$I508,"")</f>
        <v>222</v>
      </c>
      <c r="L508" s="44" cm="1">
        <f t="array" ref="L508">IF(S508&lt;&gt;0, HEX2DEC(Reverse(S508))-$I508,"")</f>
        <v>28</v>
      </c>
      <c r="M508" s="44" cm="1">
        <f t="array" ref="M508">IF(T508&lt;&gt;0, HEX2DEC(Reverse(T508))-$I508,"")</f>
        <v>221</v>
      </c>
      <c r="O508" s="3">
        <v>1010100</v>
      </c>
      <c r="P508" s="3" t="s">
        <v>114</v>
      </c>
      <c r="Q508" s="3" t="s">
        <v>915</v>
      </c>
      <c r="R508" s="3" t="s">
        <v>1428</v>
      </c>
      <c r="S508" s="3" t="s">
        <v>915</v>
      </c>
      <c r="T508" s="3" t="s">
        <v>1426</v>
      </c>
      <c r="U508" s="3">
        <v>31313131</v>
      </c>
      <c r="V508" s="4" t="s">
        <v>135</v>
      </c>
    </row>
    <row r="509" spans="1:22" x14ac:dyDescent="0.2">
      <c r="A509" s="20" t="s">
        <v>597</v>
      </c>
      <c r="B509" s="20">
        <v>3595</v>
      </c>
      <c r="C509" s="21" t="s">
        <v>1</v>
      </c>
      <c r="D509" s="21" t="s">
        <v>2</v>
      </c>
      <c r="E509" s="21" t="s">
        <v>90</v>
      </c>
      <c r="F509" s="21" t="s">
        <v>94</v>
      </c>
      <c r="G509" s="21" t="s">
        <v>1778</v>
      </c>
      <c r="H509" s="22" t="str" cm="1">
        <f t="array" ref="H509">Reverse2_6(O509)</f>
        <v>00-010201</v>
      </c>
      <c r="I509" s="45" cm="1">
        <f t="array" ref="I509">HEX2DEC(Reverse(P509))</f>
        <v>93631153</v>
      </c>
      <c r="J509" s="45" cm="1">
        <f t="array" ref="J509">IF(Q509&lt;&gt;0, HEX2DEC(Reverse(Q509))-$I509,"")</f>
        <v>28</v>
      </c>
      <c r="K509" s="45" cm="1">
        <f t="array" ref="K509">IF(R509&lt;&gt;0, HEX2DEC(Reverse(R509))-$I509,"")</f>
        <v>223</v>
      </c>
      <c r="L509" s="45" t="str" cm="1">
        <f t="array" ref="L509">IF(S509&lt;&gt;0, HEX2DEC(Reverse(S509))-$I509,"")</f>
        <v/>
      </c>
      <c r="M509" s="45" cm="1">
        <f t="array" ref="M509">IF(T509&lt;&gt;0, HEX2DEC(Reverse(T509))-$I509,"")</f>
        <v>222</v>
      </c>
      <c r="O509" s="3">
        <v>1020100</v>
      </c>
      <c r="P509" s="3" t="s">
        <v>114</v>
      </c>
      <c r="Q509" s="3" t="s">
        <v>915</v>
      </c>
      <c r="R509" s="3" t="s">
        <v>1431</v>
      </c>
      <c r="S509" s="3">
        <v>0</v>
      </c>
      <c r="T509" s="3" t="s">
        <v>1428</v>
      </c>
      <c r="U509" s="3"/>
      <c r="V509" s="4"/>
    </row>
    <row r="510" spans="1:22" x14ac:dyDescent="0.2">
      <c r="A510" s="16" t="s">
        <v>598</v>
      </c>
      <c r="B510" s="16">
        <v>3602</v>
      </c>
      <c r="C510" s="15" t="s">
        <v>2</v>
      </c>
      <c r="D510" s="15" t="s">
        <v>1</v>
      </c>
      <c r="E510" s="15" t="s">
        <v>92</v>
      </c>
      <c r="F510" s="15" t="s">
        <v>96</v>
      </c>
      <c r="G510" s="15"/>
      <c r="H510" s="17" t="str" cm="1">
        <f t="array" ref="H510">Reverse2_6(O510)</f>
        <v>00-010101</v>
      </c>
      <c r="I510" s="18" cm="1">
        <f t="array" ref="I510">HEX2DEC(Reverse(P510))</f>
        <v>93631153</v>
      </c>
      <c r="J510" s="18" cm="1">
        <f t="array" ref="J510">IF(Q510&lt;&gt;0, HEX2DEC(Reverse(Q510))-$I510,"")</f>
        <v>224</v>
      </c>
      <c r="K510" s="18" cm="1">
        <f t="array" ref="K510">IF(R510&lt;&gt;0, HEX2DEC(Reverse(R510))-$I510,"")</f>
        <v>26</v>
      </c>
      <c r="L510" s="18" cm="1">
        <f t="array" ref="L510">IF(S510&lt;&gt;0, HEX2DEC(Reverse(S510))-$I510,"")</f>
        <v>223</v>
      </c>
      <c r="M510" s="18" cm="1">
        <f t="array" ref="M510">IF(T510&lt;&gt;0, HEX2DEC(Reverse(T510))-$I510,"")</f>
        <v>26</v>
      </c>
      <c r="O510" s="3">
        <v>1010100</v>
      </c>
      <c r="P510" s="3" t="s">
        <v>114</v>
      </c>
      <c r="Q510" s="3" t="s">
        <v>1432</v>
      </c>
      <c r="R510" s="3" t="s">
        <v>911</v>
      </c>
      <c r="S510" s="3" t="s">
        <v>1431</v>
      </c>
      <c r="T510" s="3" t="s">
        <v>911</v>
      </c>
      <c r="U510" s="3">
        <v>31313131</v>
      </c>
      <c r="V510" s="4" t="s">
        <v>1433</v>
      </c>
    </row>
    <row r="511" spans="1:22" x14ac:dyDescent="0.2">
      <c r="A511" s="16" t="s">
        <v>599</v>
      </c>
      <c r="B511" s="16">
        <v>3603</v>
      </c>
      <c r="C511" s="15" t="s">
        <v>2</v>
      </c>
      <c r="D511" s="15" t="s">
        <v>1</v>
      </c>
      <c r="E511" s="15" t="s">
        <v>92</v>
      </c>
      <c r="F511" s="15" t="s">
        <v>96</v>
      </c>
      <c r="G511" s="15"/>
      <c r="H511" s="17" t="str" cm="1">
        <f t="array" ref="H511">Reverse2_6(O511)</f>
        <v>00-010101</v>
      </c>
      <c r="I511" s="18" cm="1">
        <f t="array" ref="I511">HEX2DEC(Reverse(P511))</f>
        <v>93631153</v>
      </c>
      <c r="J511" s="18" cm="1">
        <f t="array" ref="J511">IF(Q511&lt;&gt;0, HEX2DEC(Reverse(Q511))-$I511,"")</f>
        <v>225</v>
      </c>
      <c r="K511" s="18" cm="1">
        <f t="array" ref="K511">IF(R511&lt;&gt;0, HEX2DEC(Reverse(R511))-$I511,"")</f>
        <v>26</v>
      </c>
      <c r="L511" s="18" cm="1">
        <f t="array" ref="L511">IF(S511&lt;&gt;0, HEX2DEC(Reverse(S511))-$I511,"")</f>
        <v>224</v>
      </c>
      <c r="M511" s="18" cm="1">
        <f t="array" ref="M511">IF(T511&lt;&gt;0, HEX2DEC(Reverse(T511))-$I511,"")</f>
        <v>26</v>
      </c>
      <c r="O511" s="3">
        <v>1010100</v>
      </c>
      <c r="P511" s="3" t="s">
        <v>114</v>
      </c>
      <c r="Q511" s="3" t="s">
        <v>1434</v>
      </c>
      <c r="R511" s="3" t="s">
        <v>911</v>
      </c>
      <c r="S511" s="3" t="s">
        <v>1432</v>
      </c>
      <c r="T511" s="3" t="s">
        <v>911</v>
      </c>
      <c r="U511" s="3" t="s">
        <v>1435</v>
      </c>
      <c r="V511" s="4" t="s">
        <v>1436</v>
      </c>
    </row>
    <row r="512" spans="1:22" x14ac:dyDescent="0.2">
      <c r="A512" s="16" t="s">
        <v>600</v>
      </c>
      <c r="B512" s="16">
        <v>3604</v>
      </c>
      <c r="C512" s="15" t="s">
        <v>2</v>
      </c>
      <c r="D512" s="15" t="s">
        <v>1</v>
      </c>
      <c r="E512" s="15" t="s">
        <v>92</v>
      </c>
      <c r="F512" s="15" t="s">
        <v>888</v>
      </c>
      <c r="G512" s="15"/>
      <c r="H512" s="17" t="str" cm="1">
        <f t="array" ref="H512">Reverse2_6(O512)</f>
        <v>00-010101</v>
      </c>
      <c r="I512" s="18" cm="1">
        <f t="array" ref="I512">HEX2DEC(Reverse(P512))</f>
        <v>93631153</v>
      </c>
      <c r="J512" s="18" cm="1">
        <f t="array" ref="J512">IF(Q512&lt;&gt;0, HEX2DEC(Reverse(Q512))-$I512,"")</f>
        <v>226</v>
      </c>
      <c r="K512" s="18" cm="1">
        <f t="array" ref="K512">IF(R512&lt;&gt;0, HEX2DEC(Reverse(R512))-$I512,"")</f>
        <v>26</v>
      </c>
      <c r="L512" s="18" cm="1">
        <f t="array" ref="L512">IF(S512&lt;&gt;0, HEX2DEC(Reverse(S512))-$I512,"")</f>
        <v>225</v>
      </c>
      <c r="M512" s="18" cm="1">
        <f t="array" ref="M512">IF(T512&lt;&gt;0, HEX2DEC(Reverse(T512))-$I512,"")</f>
        <v>26</v>
      </c>
      <c r="O512" s="3">
        <v>1010100</v>
      </c>
      <c r="P512" s="3" t="s">
        <v>114</v>
      </c>
      <c r="Q512" s="3" t="s">
        <v>1437</v>
      </c>
      <c r="R512" s="3" t="s">
        <v>911</v>
      </c>
      <c r="S512" s="3" t="s">
        <v>1434</v>
      </c>
      <c r="T512" s="3" t="s">
        <v>911</v>
      </c>
      <c r="U512" s="3" t="s">
        <v>1438</v>
      </c>
      <c r="V512" s="4" t="s">
        <v>1439</v>
      </c>
    </row>
    <row r="513" spans="1:22" x14ac:dyDescent="0.2">
      <c r="A513" s="20" t="s">
        <v>601</v>
      </c>
      <c r="B513" s="20">
        <v>3605</v>
      </c>
      <c r="C513" s="21" t="s">
        <v>1</v>
      </c>
      <c r="D513" s="21" t="s">
        <v>2</v>
      </c>
      <c r="E513" s="21" t="s">
        <v>90</v>
      </c>
      <c r="F513" s="21" t="s">
        <v>94</v>
      </c>
      <c r="G513" s="21" t="s">
        <v>1778</v>
      </c>
      <c r="H513" s="22" t="str" cm="1">
        <f t="array" ref="H513">Reverse2_6(O513)</f>
        <v>00-010201</v>
      </c>
      <c r="I513" s="45" cm="1">
        <f t="array" ref="I513">HEX2DEC(Reverse(P513))</f>
        <v>93631153</v>
      </c>
      <c r="J513" s="45" cm="1">
        <f t="array" ref="J513">IF(Q513&lt;&gt;0, HEX2DEC(Reverse(Q513))-$I513,"")</f>
        <v>28</v>
      </c>
      <c r="K513" s="45" cm="1">
        <f t="array" ref="K513">IF(R513&lt;&gt;0, HEX2DEC(Reverse(R513))-$I513,"")</f>
        <v>224</v>
      </c>
      <c r="L513" s="45" t="str" cm="1">
        <f t="array" ref="L513">IF(S513&lt;&gt;0, HEX2DEC(Reverse(S513))-$I513,"")</f>
        <v/>
      </c>
      <c r="M513" s="45" cm="1">
        <f t="array" ref="M513">IF(T513&lt;&gt;0, HEX2DEC(Reverse(T513))-$I513,"")</f>
        <v>223</v>
      </c>
      <c r="O513" s="3">
        <v>1020100</v>
      </c>
      <c r="P513" s="3" t="s">
        <v>114</v>
      </c>
      <c r="Q513" s="3" t="s">
        <v>915</v>
      </c>
      <c r="R513" s="3" t="s">
        <v>1432</v>
      </c>
      <c r="S513" s="3">
        <v>0</v>
      </c>
      <c r="T513" s="3" t="s">
        <v>1431</v>
      </c>
      <c r="U513" s="3"/>
      <c r="V513" s="4"/>
    </row>
    <row r="514" spans="1:22" x14ac:dyDescent="0.2">
      <c r="A514" s="20" t="s">
        <v>602</v>
      </c>
      <c r="B514" s="20">
        <v>3606</v>
      </c>
      <c r="C514" s="21" t="s">
        <v>1</v>
      </c>
      <c r="D514" s="21" t="s">
        <v>2</v>
      </c>
      <c r="E514" s="21" t="s">
        <v>90</v>
      </c>
      <c r="F514" s="21" t="s">
        <v>94</v>
      </c>
      <c r="G514" s="21" t="s">
        <v>1778</v>
      </c>
      <c r="H514" s="22" t="str" cm="1">
        <f t="array" ref="H514">Reverse2_6(O514)</f>
        <v>00-010201</v>
      </c>
      <c r="I514" s="45" cm="1">
        <f t="array" ref="I514">HEX2DEC(Reverse(P514))</f>
        <v>93631153</v>
      </c>
      <c r="J514" s="45" cm="1">
        <f t="array" ref="J514">IF(Q514&lt;&gt;0, HEX2DEC(Reverse(Q514))-$I514,"")</f>
        <v>28</v>
      </c>
      <c r="K514" s="45" cm="1">
        <f t="array" ref="K514">IF(R514&lt;&gt;0, HEX2DEC(Reverse(R514))-$I514,"")</f>
        <v>225</v>
      </c>
      <c r="L514" s="45" t="str" cm="1">
        <f t="array" ref="L514">IF(S514&lt;&gt;0, HEX2DEC(Reverse(S514))-$I514,"")</f>
        <v/>
      </c>
      <c r="M514" s="45" cm="1">
        <f t="array" ref="M514">IF(T514&lt;&gt;0, HEX2DEC(Reverse(T514))-$I514,"")</f>
        <v>224</v>
      </c>
      <c r="O514" s="3">
        <v>1020100</v>
      </c>
      <c r="P514" s="3" t="s">
        <v>114</v>
      </c>
      <c r="Q514" s="3" t="s">
        <v>915</v>
      </c>
      <c r="R514" s="3" t="s">
        <v>1434</v>
      </c>
      <c r="S514" s="3">
        <v>0</v>
      </c>
      <c r="T514" s="3" t="s">
        <v>1432</v>
      </c>
      <c r="U514" s="3"/>
      <c r="V514" s="4"/>
    </row>
    <row r="515" spans="1:22" x14ac:dyDescent="0.2">
      <c r="A515" s="20" t="s">
        <v>603</v>
      </c>
      <c r="B515" s="20">
        <v>3607</v>
      </c>
      <c r="C515" s="21" t="s">
        <v>1</v>
      </c>
      <c r="D515" s="21" t="s">
        <v>2</v>
      </c>
      <c r="E515" s="21" t="s">
        <v>90</v>
      </c>
      <c r="F515" s="21" t="s">
        <v>94</v>
      </c>
      <c r="G515" s="21" t="s">
        <v>1778</v>
      </c>
      <c r="H515" s="22" t="str" cm="1">
        <f t="array" ref="H515">Reverse2_6(O515)</f>
        <v>00-010201</v>
      </c>
      <c r="I515" s="45" cm="1">
        <f t="array" ref="I515">HEX2DEC(Reverse(P515))</f>
        <v>93631153</v>
      </c>
      <c r="J515" s="45" cm="1">
        <f t="array" ref="J515">IF(Q515&lt;&gt;0, HEX2DEC(Reverse(Q515))-$I515,"")</f>
        <v>28</v>
      </c>
      <c r="K515" s="45" cm="1">
        <f t="array" ref="K515">IF(R515&lt;&gt;0, HEX2DEC(Reverse(R515))-$I515,"")</f>
        <v>226</v>
      </c>
      <c r="L515" s="45" t="str" cm="1">
        <f t="array" ref="L515">IF(S515&lt;&gt;0, HEX2DEC(Reverse(S515))-$I515,"")</f>
        <v/>
      </c>
      <c r="M515" s="45" cm="1">
        <f t="array" ref="M515">IF(T515&lt;&gt;0, HEX2DEC(Reverse(T515))-$I515,"")</f>
        <v>225</v>
      </c>
      <c r="O515" s="3">
        <v>1020100</v>
      </c>
      <c r="P515" s="3" t="s">
        <v>114</v>
      </c>
      <c r="Q515" s="3" t="s">
        <v>915</v>
      </c>
      <c r="R515" s="3" t="s">
        <v>1437</v>
      </c>
      <c r="S515" s="3">
        <v>0</v>
      </c>
      <c r="T515" s="3" t="s">
        <v>1434</v>
      </c>
      <c r="U515" s="3"/>
      <c r="V515" s="4"/>
    </row>
    <row r="516" spans="1:22" x14ac:dyDescent="0.2">
      <c r="A516" s="16" t="s">
        <v>604</v>
      </c>
      <c r="B516" s="16">
        <v>3610</v>
      </c>
      <c r="C516" s="15" t="s">
        <v>2</v>
      </c>
      <c r="D516" s="15" t="s">
        <v>1</v>
      </c>
      <c r="E516" s="15" t="s">
        <v>92</v>
      </c>
      <c r="F516" s="15" t="s">
        <v>96</v>
      </c>
      <c r="G516" s="15"/>
      <c r="H516" s="17" t="str" cm="1">
        <f t="array" ref="H516">Reverse2_6(O516)</f>
        <v>00-010101</v>
      </c>
      <c r="I516" s="18" cm="1">
        <f t="array" ref="I516">HEX2DEC(Reverse(P516))</f>
        <v>93631153</v>
      </c>
      <c r="J516" s="18" cm="1">
        <f t="array" ref="J516">IF(Q516&lt;&gt;0, HEX2DEC(Reverse(Q516))-$I516,"")</f>
        <v>227</v>
      </c>
      <c r="K516" s="18" cm="1">
        <f t="array" ref="K516">IF(R516&lt;&gt;0, HEX2DEC(Reverse(R516))-$I516,"")</f>
        <v>26</v>
      </c>
      <c r="L516" s="18" cm="1">
        <f t="array" ref="L516">IF(S516&lt;&gt;0, HEX2DEC(Reverse(S516))-$I516,"")</f>
        <v>226</v>
      </c>
      <c r="M516" s="18" cm="1">
        <f t="array" ref="M516">IF(T516&lt;&gt;0, HEX2DEC(Reverse(T516))-$I516,"")</f>
        <v>26</v>
      </c>
      <c r="O516" s="3">
        <v>1010100</v>
      </c>
      <c r="P516" s="3" t="s">
        <v>114</v>
      </c>
      <c r="Q516" s="3" t="s">
        <v>1440</v>
      </c>
      <c r="R516" s="3" t="s">
        <v>911</v>
      </c>
      <c r="S516" s="3" t="s">
        <v>1437</v>
      </c>
      <c r="T516" s="3" t="s">
        <v>911</v>
      </c>
      <c r="U516" s="3">
        <v>31313131</v>
      </c>
      <c r="V516" s="4" t="s">
        <v>1441</v>
      </c>
    </row>
    <row r="517" spans="1:22" x14ac:dyDescent="0.2">
      <c r="A517" s="16" t="s">
        <v>605</v>
      </c>
      <c r="B517" s="16">
        <v>3611</v>
      </c>
      <c r="C517" s="15" t="s">
        <v>2</v>
      </c>
      <c r="D517" s="15" t="s">
        <v>1</v>
      </c>
      <c r="E517" s="15" t="s">
        <v>92</v>
      </c>
      <c r="F517" s="15" t="s">
        <v>96</v>
      </c>
      <c r="G517" s="15"/>
      <c r="H517" s="17" t="str" cm="1">
        <f t="array" ref="H517">Reverse2_6(O517)</f>
        <v>00-010101</v>
      </c>
      <c r="I517" s="18" cm="1">
        <f t="array" ref="I517">HEX2DEC(Reverse(P517))</f>
        <v>93631153</v>
      </c>
      <c r="J517" s="18" cm="1">
        <f t="array" ref="J517">IF(Q517&lt;&gt;0, HEX2DEC(Reverse(Q517))-$I517,"")</f>
        <v>228</v>
      </c>
      <c r="K517" s="18" cm="1">
        <f t="array" ref="K517">IF(R517&lt;&gt;0, HEX2DEC(Reverse(R517))-$I517,"")</f>
        <v>26</v>
      </c>
      <c r="L517" s="18" cm="1">
        <f t="array" ref="L517">IF(S517&lt;&gt;0, HEX2DEC(Reverse(S517))-$I517,"")</f>
        <v>227</v>
      </c>
      <c r="M517" s="18" cm="1">
        <f t="array" ref="M517">IF(T517&lt;&gt;0, HEX2DEC(Reverse(T517))-$I517,"")</f>
        <v>26</v>
      </c>
      <c r="O517" s="3">
        <v>1010100</v>
      </c>
      <c r="P517" s="3" t="s">
        <v>114</v>
      </c>
      <c r="Q517" s="3" t="s">
        <v>1442</v>
      </c>
      <c r="R517" s="3" t="s">
        <v>911</v>
      </c>
      <c r="S517" s="3" t="s">
        <v>1440</v>
      </c>
      <c r="T517" s="3" t="s">
        <v>911</v>
      </c>
      <c r="U517" s="3">
        <v>5608</v>
      </c>
      <c r="V517" s="4" t="s">
        <v>1443</v>
      </c>
    </row>
    <row r="518" spans="1:22" x14ac:dyDescent="0.2">
      <c r="A518" s="16" t="s">
        <v>606</v>
      </c>
      <c r="B518" s="16">
        <v>3612</v>
      </c>
      <c r="C518" s="15" t="s">
        <v>2</v>
      </c>
      <c r="D518" s="15" t="s">
        <v>1</v>
      </c>
      <c r="E518" s="15" t="s">
        <v>92</v>
      </c>
      <c r="F518" s="15" t="s">
        <v>889</v>
      </c>
      <c r="G518" s="15"/>
      <c r="H518" s="17" t="str" cm="1">
        <f t="array" ref="H518">Reverse2_6(O518)</f>
        <v>00-010101</v>
      </c>
      <c r="I518" s="18" cm="1">
        <f t="array" ref="I518">HEX2DEC(Reverse(P518))</f>
        <v>93631153</v>
      </c>
      <c r="J518" s="18" cm="1">
        <f t="array" ref="J518">IF(Q518&lt;&gt;0, HEX2DEC(Reverse(Q518))-$I518,"")</f>
        <v>229</v>
      </c>
      <c r="K518" s="18" cm="1">
        <f t="array" ref="K518">IF(R518&lt;&gt;0, HEX2DEC(Reverse(R518))-$I518,"")</f>
        <v>26</v>
      </c>
      <c r="L518" s="18" cm="1">
        <f t="array" ref="L518">IF(S518&lt;&gt;0, HEX2DEC(Reverse(S518))-$I518,"")</f>
        <v>228</v>
      </c>
      <c r="M518" s="18" cm="1">
        <f t="array" ref="M518">IF(T518&lt;&gt;0, HEX2DEC(Reverse(T518))-$I518,"")</f>
        <v>26</v>
      </c>
      <c r="O518" s="3">
        <v>1010100</v>
      </c>
      <c r="P518" s="3" t="s">
        <v>114</v>
      </c>
      <c r="Q518" s="3" t="s">
        <v>1444</v>
      </c>
      <c r="R518" s="3" t="s">
        <v>911</v>
      </c>
      <c r="S518" s="3" t="s">
        <v>1442</v>
      </c>
      <c r="T518" s="3" t="s">
        <v>911</v>
      </c>
      <c r="U518" s="3" t="s">
        <v>1445</v>
      </c>
      <c r="V518" s="4" t="s">
        <v>1446</v>
      </c>
    </row>
    <row r="519" spans="1:22" x14ac:dyDescent="0.2">
      <c r="A519" s="20" t="s">
        <v>607</v>
      </c>
      <c r="B519" s="20">
        <v>3613</v>
      </c>
      <c r="C519" s="21" t="s">
        <v>1</v>
      </c>
      <c r="D519" s="21" t="s">
        <v>2</v>
      </c>
      <c r="E519" s="21" t="s">
        <v>90</v>
      </c>
      <c r="F519" s="21" t="s">
        <v>94</v>
      </c>
      <c r="G519" s="21" t="s">
        <v>1778</v>
      </c>
      <c r="H519" s="22" t="str" cm="1">
        <f t="array" ref="H519">Reverse2_6(O519)</f>
        <v>00-010201</v>
      </c>
      <c r="I519" s="45" cm="1">
        <f t="array" ref="I519">HEX2DEC(Reverse(P519))</f>
        <v>93631153</v>
      </c>
      <c r="J519" s="45" cm="1">
        <f t="array" ref="J519">IF(Q519&lt;&gt;0, HEX2DEC(Reverse(Q519))-$I519,"")</f>
        <v>28</v>
      </c>
      <c r="K519" s="45" cm="1">
        <f t="array" ref="K519">IF(R519&lt;&gt;0, HEX2DEC(Reverse(R519))-$I519,"")</f>
        <v>227</v>
      </c>
      <c r="L519" s="45" t="str" cm="1">
        <f t="array" ref="L519">IF(S519&lt;&gt;0, HEX2DEC(Reverse(S519))-$I519,"")</f>
        <v/>
      </c>
      <c r="M519" s="45" cm="1">
        <f t="array" ref="M519">IF(T519&lt;&gt;0, HEX2DEC(Reverse(T519))-$I519,"")</f>
        <v>226</v>
      </c>
      <c r="O519" s="3">
        <v>1020100</v>
      </c>
      <c r="P519" s="3" t="s">
        <v>114</v>
      </c>
      <c r="Q519" s="3" t="s">
        <v>915</v>
      </c>
      <c r="R519" s="3" t="s">
        <v>1440</v>
      </c>
      <c r="S519" s="3">
        <v>0</v>
      </c>
      <c r="T519" s="3" t="s">
        <v>1437</v>
      </c>
      <c r="U519" s="3"/>
      <c r="V519" s="4"/>
    </row>
    <row r="520" spans="1:22" x14ac:dyDescent="0.2">
      <c r="A520" s="20" t="s">
        <v>608</v>
      </c>
      <c r="B520" s="20">
        <v>3614</v>
      </c>
      <c r="C520" s="21" t="s">
        <v>1</v>
      </c>
      <c r="D520" s="21" t="s">
        <v>2</v>
      </c>
      <c r="E520" s="21" t="s">
        <v>90</v>
      </c>
      <c r="F520" s="21" t="s">
        <v>94</v>
      </c>
      <c r="G520" s="21" t="s">
        <v>1778</v>
      </c>
      <c r="H520" s="22" t="str" cm="1">
        <f t="array" ref="H520">Reverse2_6(O520)</f>
        <v>00-010201</v>
      </c>
      <c r="I520" s="45" cm="1">
        <f t="array" ref="I520">HEX2DEC(Reverse(P520))</f>
        <v>93631153</v>
      </c>
      <c r="J520" s="45" cm="1">
        <f t="array" ref="J520">IF(Q520&lt;&gt;0, HEX2DEC(Reverse(Q520))-$I520,"")</f>
        <v>28</v>
      </c>
      <c r="K520" s="45" cm="1">
        <f t="array" ref="K520">IF(R520&lt;&gt;0, HEX2DEC(Reverse(R520))-$I520,"")</f>
        <v>228</v>
      </c>
      <c r="L520" s="45" t="str" cm="1">
        <f t="array" ref="L520">IF(S520&lt;&gt;0, HEX2DEC(Reverse(S520))-$I520,"")</f>
        <v/>
      </c>
      <c r="M520" s="45" cm="1">
        <f t="array" ref="M520">IF(T520&lt;&gt;0, HEX2DEC(Reverse(T520))-$I520,"")</f>
        <v>227</v>
      </c>
      <c r="O520" s="3">
        <v>1020100</v>
      </c>
      <c r="P520" s="3" t="s">
        <v>114</v>
      </c>
      <c r="Q520" s="3" t="s">
        <v>915</v>
      </c>
      <c r="R520" s="3" t="s">
        <v>1442</v>
      </c>
      <c r="S520" s="3">
        <v>0</v>
      </c>
      <c r="T520" s="3" t="s">
        <v>1440</v>
      </c>
      <c r="U520" s="3"/>
      <c r="V520" s="4"/>
    </row>
    <row r="521" spans="1:22" x14ac:dyDescent="0.2">
      <c r="A521" s="20" t="s">
        <v>609</v>
      </c>
      <c r="B521" s="20">
        <v>3615</v>
      </c>
      <c r="C521" s="21" t="s">
        <v>1</v>
      </c>
      <c r="D521" s="21" t="s">
        <v>2</v>
      </c>
      <c r="E521" s="21" t="s">
        <v>90</v>
      </c>
      <c r="F521" s="21" t="s">
        <v>94</v>
      </c>
      <c r="G521" s="21" t="s">
        <v>1778</v>
      </c>
      <c r="H521" s="22" t="str" cm="1">
        <f t="array" ref="H521">Reverse2_6(O521)</f>
        <v>00-010201</v>
      </c>
      <c r="I521" s="45" cm="1">
        <f t="array" ref="I521">HEX2DEC(Reverse(P521))</f>
        <v>93631153</v>
      </c>
      <c r="J521" s="45" cm="1">
        <f t="array" ref="J521">IF(Q521&lt;&gt;0, HEX2DEC(Reverse(Q521))-$I521,"")</f>
        <v>28</v>
      </c>
      <c r="K521" s="45" cm="1">
        <f t="array" ref="K521">IF(R521&lt;&gt;0, HEX2DEC(Reverse(R521))-$I521,"")</f>
        <v>229</v>
      </c>
      <c r="L521" s="45" t="str" cm="1">
        <f t="array" ref="L521">IF(S521&lt;&gt;0, HEX2DEC(Reverse(S521))-$I521,"")</f>
        <v/>
      </c>
      <c r="M521" s="45" cm="1">
        <f t="array" ref="M521">IF(T521&lt;&gt;0, HEX2DEC(Reverse(T521))-$I521,"")</f>
        <v>228</v>
      </c>
      <c r="O521" s="3">
        <v>1020100</v>
      </c>
      <c r="P521" s="3" t="s">
        <v>114</v>
      </c>
      <c r="Q521" s="3" t="s">
        <v>915</v>
      </c>
      <c r="R521" s="3" t="s">
        <v>1444</v>
      </c>
      <c r="S521" s="3">
        <v>0</v>
      </c>
      <c r="T521" s="3" t="s">
        <v>1442</v>
      </c>
      <c r="U521" s="3"/>
      <c r="V521" s="4"/>
    </row>
    <row r="522" spans="1:22" x14ac:dyDescent="0.2">
      <c r="A522" s="16" t="s">
        <v>610</v>
      </c>
      <c r="B522" s="16">
        <v>3626</v>
      </c>
      <c r="C522" s="15" t="s">
        <v>2</v>
      </c>
      <c r="D522" s="15" t="s">
        <v>1</v>
      </c>
      <c r="E522" s="15" t="s">
        <v>92</v>
      </c>
      <c r="F522" s="15" t="s">
        <v>96</v>
      </c>
      <c r="G522" s="15"/>
      <c r="H522" s="17" t="str" cm="1">
        <f t="array" ref="H522">Reverse2_6(O522)</f>
        <v>00-010101</v>
      </c>
      <c r="I522" s="18" cm="1">
        <f t="array" ref="I522">HEX2DEC(Reverse(P522))</f>
        <v>93631153</v>
      </c>
      <c r="J522" s="18" cm="1">
        <f t="array" ref="J522">IF(Q522&lt;&gt;0, HEX2DEC(Reverse(Q522))-$I522,"")</f>
        <v>230</v>
      </c>
      <c r="K522" s="18" cm="1">
        <f t="array" ref="K522">IF(R522&lt;&gt;0, HEX2DEC(Reverse(R522))-$I522,"")</f>
        <v>26</v>
      </c>
      <c r="L522" s="18" cm="1">
        <f t="array" ref="L522">IF(S522&lt;&gt;0, HEX2DEC(Reverse(S522))-$I522,"")</f>
        <v>229</v>
      </c>
      <c r="M522" s="18" cm="1">
        <f t="array" ref="M522">IF(T522&lt;&gt;0, HEX2DEC(Reverse(T522))-$I522,"")</f>
        <v>26</v>
      </c>
      <c r="O522" s="3">
        <v>1010100</v>
      </c>
      <c r="P522" s="3" t="s">
        <v>114</v>
      </c>
      <c r="Q522" s="3" t="s">
        <v>1447</v>
      </c>
      <c r="R522" s="3" t="s">
        <v>911</v>
      </c>
      <c r="S522" s="3" t="s">
        <v>1444</v>
      </c>
      <c r="T522" s="3" t="s">
        <v>911</v>
      </c>
      <c r="U522" s="3">
        <v>31313131</v>
      </c>
      <c r="V522" s="4" t="s">
        <v>1448</v>
      </c>
    </row>
    <row r="523" spans="1:22" x14ac:dyDescent="0.2">
      <c r="A523" s="16" t="s">
        <v>611</v>
      </c>
      <c r="B523" s="16">
        <v>3627</v>
      </c>
      <c r="C523" s="15" t="s">
        <v>2</v>
      </c>
      <c r="D523" s="15" t="s">
        <v>1</v>
      </c>
      <c r="E523" s="15" t="s">
        <v>92</v>
      </c>
      <c r="F523" s="15" t="s">
        <v>890</v>
      </c>
      <c r="G523" s="15"/>
      <c r="H523" s="17" t="str" cm="1">
        <f t="array" ref="H523">Reverse2_6(O523)</f>
        <v>00-010101</v>
      </c>
      <c r="I523" s="18" cm="1">
        <f t="array" ref="I523">HEX2DEC(Reverse(P523))</f>
        <v>93631153</v>
      </c>
      <c r="J523" s="18" cm="1">
        <f t="array" ref="J523">IF(Q523&lt;&gt;0, HEX2DEC(Reverse(Q523))-$I523,"")</f>
        <v>231</v>
      </c>
      <c r="K523" s="18" cm="1">
        <f t="array" ref="K523">IF(R523&lt;&gt;0, HEX2DEC(Reverse(R523))-$I523,"")</f>
        <v>26</v>
      </c>
      <c r="L523" s="18" cm="1">
        <f t="array" ref="L523">IF(S523&lt;&gt;0, HEX2DEC(Reverse(S523))-$I523,"")</f>
        <v>230</v>
      </c>
      <c r="M523" s="18" cm="1">
        <f t="array" ref="M523">IF(T523&lt;&gt;0, HEX2DEC(Reverse(T523))-$I523,"")</f>
        <v>26</v>
      </c>
      <c r="O523" s="3">
        <v>1010100</v>
      </c>
      <c r="P523" s="3" t="s">
        <v>114</v>
      </c>
      <c r="Q523" s="3" t="s">
        <v>1449</v>
      </c>
      <c r="R523" s="3" t="s">
        <v>911</v>
      </c>
      <c r="S523" s="3" t="s">
        <v>1447</v>
      </c>
      <c r="T523" s="3" t="s">
        <v>911</v>
      </c>
      <c r="U523" s="3">
        <v>34939985</v>
      </c>
      <c r="V523" s="4" t="s">
        <v>1450</v>
      </c>
    </row>
    <row r="524" spans="1:22" x14ac:dyDescent="0.2">
      <c r="A524" s="20" t="s">
        <v>612</v>
      </c>
      <c r="B524" s="20">
        <v>3628</v>
      </c>
      <c r="C524" s="21" t="s">
        <v>1</v>
      </c>
      <c r="D524" s="21" t="s">
        <v>2</v>
      </c>
      <c r="E524" s="21" t="s">
        <v>90</v>
      </c>
      <c r="F524" s="21" t="s">
        <v>94</v>
      </c>
      <c r="G524" s="21" t="s">
        <v>1778</v>
      </c>
      <c r="H524" s="22" t="str" cm="1">
        <f t="array" ref="H524">Reverse2_6(O524)</f>
        <v>00-010201</v>
      </c>
      <c r="I524" s="45" cm="1">
        <f t="array" ref="I524">HEX2DEC(Reverse(P524))</f>
        <v>93631153</v>
      </c>
      <c r="J524" s="45" cm="1">
        <f t="array" ref="J524">IF(Q524&lt;&gt;0, HEX2DEC(Reverse(Q524))-$I524,"")</f>
        <v>28</v>
      </c>
      <c r="K524" s="45" cm="1">
        <f t="array" ref="K524">IF(R524&lt;&gt;0, HEX2DEC(Reverse(R524))-$I524,"")</f>
        <v>230</v>
      </c>
      <c r="L524" s="45" t="str" cm="1">
        <f t="array" ref="L524">IF(S524&lt;&gt;0, HEX2DEC(Reverse(S524))-$I524,"")</f>
        <v/>
      </c>
      <c r="M524" s="45" cm="1">
        <f t="array" ref="M524">IF(T524&lt;&gt;0, HEX2DEC(Reverse(T524))-$I524,"")</f>
        <v>229</v>
      </c>
      <c r="O524" s="3">
        <v>1020100</v>
      </c>
      <c r="P524" s="3" t="s">
        <v>114</v>
      </c>
      <c r="Q524" s="3" t="s">
        <v>915</v>
      </c>
      <c r="R524" s="3" t="s">
        <v>1447</v>
      </c>
      <c r="S524" s="3">
        <v>0</v>
      </c>
      <c r="T524" s="3" t="s">
        <v>1444</v>
      </c>
      <c r="U524" s="3"/>
      <c r="V524" s="4"/>
    </row>
    <row r="525" spans="1:22" x14ac:dyDescent="0.2">
      <c r="A525" s="20" t="s">
        <v>613</v>
      </c>
      <c r="B525" s="20">
        <v>3629</v>
      </c>
      <c r="C525" s="21" t="s">
        <v>1</v>
      </c>
      <c r="D525" s="21" t="s">
        <v>2</v>
      </c>
      <c r="E525" s="21" t="s">
        <v>90</v>
      </c>
      <c r="F525" s="21" t="s">
        <v>94</v>
      </c>
      <c r="G525" s="21" t="s">
        <v>1778</v>
      </c>
      <c r="H525" s="22" t="str" cm="1">
        <f t="array" ref="H525">Reverse2_6(O525)</f>
        <v>00-010201</v>
      </c>
      <c r="I525" s="45" cm="1">
        <f t="array" ref="I525">HEX2DEC(Reverse(P525))</f>
        <v>93631153</v>
      </c>
      <c r="J525" s="45" cm="1">
        <f t="array" ref="J525">IF(Q525&lt;&gt;0, HEX2DEC(Reverse(Q525))-$I525,"")</f>
        <v>28</v>
      </c>
      <c r="K525" s="45" cm="1">
        <f t="array" ref="K525">IF(R525&lt;&gt;0, HEX2DEC(Reverse(R525))-$I525,"")</f>
        <v>231</v>
      </c>
      <c r="L525" s="45" t="str" cm="1">
        <f t="array" ref="L525">IF(S525&lt;&gt;0, HEX2DEC(Reverse(S525))-$I525,"")</f>
        <v/>
      </c>
      <c r="M525" s="45" cm="1">
        <f t="array" ref="M525">IF(T525&lt;&gt;0, HEX2DEC(Reverse(T525))-$I525,"")</f>
        <v>230</v>
      </c>
      <c r="O525" s="3">
        <v>1020100</v>
      </c>
      <c r="P525" s="3" t="s">
        <v>114</v>
      </c>
      <c r="Q525" s="3" t="s">
        <v>915</v>
      </c>
      <c r="R525" s="3" t="s">
        <v>1449</v>
      </c>
      <c r="S525" s="3">
        <v>0</v>
      </c>
      <c r="T525" s="3" t="s">
        <v>1447</v>
      </c>
      <c r="U525" s="3"/>
      <c r="V525" s="4"/>
    </row>
    <row r="526" spans="1:22" x14ac:dyDescent="0.2">
      <c r="A526" s="16" t="s">
        <v>614</v>
      </c>
      <c r="B526" s="16">
        <v>3634</v>
      </c>
      <c r="C526" s="15" t="s">
        <v>2</v>
      </c>
      <c r="D526" s="15" t="s">
        <v>1</v>
      </c>
      <c r="E526" s="15" t="s">
        <v>92</v>
      </c>
      <c r="F526" s="15" t="s">
        <v>96</v>
      </c>
      <c r="G526" s="15"/>
      <c r="H526" s="17" t="str" cm="1">
        <f t="array" ref="H526">Reverse2_6(O526)</f>
        <v>00-010101</v>
      </c>
      <c r="I526" s="18" cm="1">
        <f t="array" ref="I526">HEX2DEC(Reverse(P526))</f>
        <v>93631153</v>
      </c>
      <c r="J526" s="18" cm="1">
        <f t="array" ref="J526">IF(Q526&lt;&gt;0, HEX2DEC(Reverse(Q526))-$I526,"")</f>
        <v>232</v>
      </c>
      <c r="K526" s="18" cm="1">
        <f t="array" ref="K526">IF(R526&lt;&gt;0, HEX2DEC(Reverse(R526))-$I526,"")</f>
        <v>26</v>
      </c>
      <c r="L526" s="18" cm="1">
        <f t="array" ref="L526">IF(S526&lt;&gt;0, HEX2DEC(Reverse(S526))-$I526,"")</f>
        <v>231</v>
      </c>
      <c r="M526" s="18" cm="1">
        <f t="array" ref="M526">IF(T526&lt;&gt;0, HEX2DEC(Reverse(T526))-$I526,"")</f>
        <v>26</v>
      </c>
      <c r="O526" s="3">
        <v>1010100</v>
      </c>
      <c r="P526" s="3" t="s">
        <v>114</v>
      </c>
      <c r="Q526" s="3" t="s">
        <v>1451</v>
      </c>
      <c r="R526" s="3" t="s">
        <v>911</v>
      </c>
      <c r="S526" s="3" t="s">
        <v>1449</v>
      </c>
      <c r="T526" s="3" t="s">
        <v>911</v>
      </c>
      <c r="U526" s="3">
        <v>31313131</v>
      </c>
      <c r="V526" s="4" t="s">
        <v>1452</v>
      </c>
    </row>
    <row r="527" spans="1:22" x14ac:dyDescent="0.2">
      <c r="A527" s="16" t="s">
        <v>615</v>
      </c>
      <c r="B527" s="16">
        <v>3635</v>
      </c>
      <c r="C527" s="15" t="s">
        <v>2</v>
      </c>
      <c r="D527" s="15" t="s">
        <v>1</v>
      </c>
      <c r="E527" s="15" t="s">
        <v>92</v>
      </c>
      <c r="F527" s="15" t="s">
        <v>105</v>
      </c>
      <c r="G527" s="15"/>
      <c r="H527" s="17" t="str" cm="1">
        <f t="array" ref="H527">Reverse2_6(O527)</f>
        <v>00-010101</v>
      </c>
      <c r="I527" s="18" cm="1">
        <f t="array" ref="I527">HEX2DEC(Reverse(P527))</f>
        <v>93631153</v>
      </c>
      <c r="J527" s="18" cm="1">
        <f t="array" ref="J527">IF(Q527&lt;&gt;0, HEX2DEC(Reverse(Q527))-$I527,"")</f>
        <v>233</v>
      </c>
      <c r="K527" s="18" cm="1">
        <f t="array" ref="K527">IF(R527&lt;&gt;0, HEX2DEC(Reverse(R527))-$I527,"")</f>
        <v>26</v>
      </c>
      <c r="L527" s="18" cm="1">
        <f t="array" ref="L527">IF(S527&lt;&gt;0, HEX2DEC(Reverse(S527))-$I527,"")</f>
        <v>232</v>
      </c>
      <c r="M527" s="18" cm="1">
        <f t="array" ref="M527">IF(T527&lt;&gt;0, HEX2DEC(Reverse(T527))-$I527,"")</f>
        <v>26</v>
      </c>
      <c r="O527" s="3">
        <v>1010100</v>
      </c>
      <c r="P527" s="3" t="s">
        <v>114</v>
      </c>
      <c r="Q527" s="3" t="s">
        <v>1453</v>
      </c>
      <c r="R527" s="3" t="s">
        <v>911</v>
      </c>
      <c r="S527" s="3" t="s">
        <v>1451</v>
      </c>
      <c r="T527" s="3" t="s">
        <v>911</v>
      </c>
      <c r="U527" s="3" t="s">
        <v>1454</v>
      </c>
      <c r="V527" s="4" t="s">
        <v>1455</v>
      </c>
    </row>
    <row r="528" spans="1:22" x14ac:dyDescent="0.2">
      <c r="A528" s="20" t="s">
        <v>616</v>
      </c>
      <c r="B528" s="20">
        <v>3636</v>
      </c>
      <c r="C528" s="21" t="s">
        <v>1</v>
      </c>
      <c r="D528" s="21" t="s">
        <v>2</v>
      </c>
      <c r="E528" s="21" t="s">
        <v>90</v>
      </c>
      <c r="F528" s="21" t="s">
        <v>94</v>
      </c>
      <c r="G528" s="21" t="s">
        <v>1778</v>
      </c>
      <c r="H528" s="22" t="str" cm="1">
        <f t="array" ref="H528">Reverse2_6(O528)</f>
        <v>00-010201</v>
      </c>
      <c r="I528" s="45" cm="1">
        <f t="array" ref="I528">HEX2DEC(Reverse(P528))</f>
        <v>93631153</v>
      </c>
      <c r="J528" s="45" cm="1">
        <f t="array" ref="J528">IF(Q528&lt;&gt;0, HEX2DEC(Reverse(Q528))-$I528,"")</f>
        <v>28</v>
      </c>
      <c r="K528" s="45" cm="1">
        <f t="array" ref="K528">IF(R528&lt;&gt;0, HEX2DEC(Reverse(R528))-$I528,"")</f>
        <v>232</v>
      </c>
      <c r="L528" s="45" t="str" cm="1">
        <f t="array" ref="L528">IF(S528&lt;&gt;0, HEX2DEC(Reverse(S528))-$I528,"")</f>
        <v/>
      </c>
      <c r="M528" s="45" cm="1">
        <f t="array" ref="M528">IF(T528&lt;&gt;0, HEX2DEC(Reverse(T528))-$I528,"")</f>
        <v>231</v>
      </c>
      <c r="O528" s="3">
        <v>1020100</v>
      </c>
      <c r="P528" s="3" t="s">
        <v>114</v>
      </c>
      <c r="Q528" s="3" t="s">
        <v>915</v>
      </c>
      <c r="R528" s="3" t="s">
        <v>1451</v>
      </c>
      <c r="S528" s="3">
        <v>0</v>
      </c>
      <c r="T528" s="3" t="s">
        <v>1449</v>
      </c>
      <c r="U528" s="3"/>
      <c r="V528" s="4"/>
    </row>
    <row r="529" spans="1:22" x14ac:dyDescent="0.2">
      <c r="A529" s="20" t="s">
        <v>617</v>
      </c>
      <c r="B529" s="20">
        <v>3637</v>
      </c>
      <c r="C529" s="21" t="s">
        <v>1</v>
      </c>
      <c r="D529" s="21" t="s">
        <v>2</v>
      </c>
      <c r="E529" s="21" t="s">
        <v>90</v>
      </c>
      <c r="F529" s="21" t="s">
        <v>94</v>
      </c>
      <c r="G529" s="21" t="s">
        <v>1778</v>
      </c>
      <c r="H529" s="22" t="str" cm="1">
        <f t="array" ref="H529">Reverse2_6(O529)</f>
        <v>00-010201</v>
      </c>
      <c r="I529" s="45" cm="1">
        <f t="array" ref="I529">HEX2DEC(Reverse(P529))</f>
        <v>93631153</v>
      </c>
      <c r="J529" s="45" cm="1">
        <f t="array" ref="J529">IF(Q529&lt;&gt;0, HEX2DEC(Reverse(Q529))-$I529,"")</f>
        <v>28</v>
      </c>
      <c r="K529" s="45" cm="1">
        <f t="array" ref="K529">IF(R529&lt;&gt;0, HEX2DEC(Reverse(R529))-$I529,"")</f>
        <v>233</v>
      </c>
      <c r="L529" s="45" t="str" cm="1">
        <f t="array" ref="L529">IF(S529&lt;&gt;0, HEX2DEC(Reverse(S529))-$I529,"")</f>
        <v/>
      </c>
      <c r="M529" s="45" cm="1">
        <f t="array" ref="M529">IF(T529&lt;&gt;0, HEX2DEC(Reverse(T529))-$I529,"")</f>
        <v>232</v>
      </c>
      <c r="O529" s="3">
        <v>1020100</v>
      </c>
      <c r="P529" s="3" t="s">
        <v>114</v>
      </c>
      <c r="Q529" s="3" t="s">
        <v>915</v>
      </c>
      <c r="R529" s="3" t="s">
        <v>1453</v>
      </c>
      <c r="S529" s="3">
        <v>0</v>
      </c>
      <c r="T529" s="3" t="s">
        <v>1451</v>
      </c>
      <c r="U529" s="3"/>
      <c r="V529" s="4"/>
    </row>
    <row r="530" spans="1:22" x14ac:dyDescent="0.2">
      <c r="A530" s="16" t="s">
        <v>618</v>
      </c>
      <c r="B530" s="16">
        <v>3643</v>
      </c>
      <c r="C530" s="15" t="s">
        <v>2</v>
      </c>
      <c r="D530" s="15" t="s">
        <v>1</v>
      </c>
      <c r="E530" s="15" t="s">
        <v>92</v>
      </c>
      <c r="F530" s="15" t="s">
        <v>96</v>
      </c>
      <c r="G530" s="15"/>
      <c r="H530" s="17" t="str" cm="1">
        <f t="array" ref="H530">Reverse2_6(O530)</f>
        <v>00-010101</v>
      </c>
      <c r="I530" s="18" cm="1">
        <f t="array" ref="I530">HEX2DEC(Reverse(P530))</f>
        <v>93631153</v>
      </c>
      <c r="J530" s="18" cm="1">
        <f t="array" ref="J530">IF(Q530&lt;&gt;0, HEX2DEC(Reverse(Q530))-$I530,"")</f>
        <v>234</v>
      </c>
      <c r="K530" s="18" cm="1">
        <f t="array" ref="K530">IF(R530&lt;&gt;0, HEX2DEC(Reverse(R530))-$I530,"")</f>
        <v>26</v>
      </c>
      <c r="L530" s="18" cm="1">
        <f t="array" ref="L530">IF(S530&lt;&gt;0, HEX2DEC(Reverse(S530))-$I530,"")</f>
        <v>233</v>
      </c>
      <c r="M530" s="18" cm="1">
        <f t="array" ref="M530">IF(T530&lt;&gt;0, HEX2DEC(Reverse(T530))-$I530,"")</f>
        <v>26</v>
      </c>
      <c r="O530" s="3">
        <v>1010100</v>
      </c>
      <c r="P530" s="3" t="s">
        <v>114</v>
      </c>
      <c r="Q530" s="3" t="s">
        <v>1456</v>
      </c>
      <c r="R530" s="3" t="s">
        <v>911</v>
      </c>
      <c r="S530" s="3" t="s">
        <v>1453</v>
      </c>
      <c r="T530" s="3" t="s">
        <v>911</v>
      </c>
      <c r="U530" s="3">
        <v>31313131</v>
      </c>
      <c r="V530" s="4" t="s">
        <v>1457</v>
      </c>
    </row>
    <row r="531" spans="1:22" x14ac:dyDescent="0.2">
      <c r="A531" s="16" t="s">
        <v>619</v>
      </c>
      <c r="B531" s="16">
        <v>3645</v>
      </c>
      <c r="C531" s="15" t="s">
        <v>2</v>
      </c>
      <c r="D531" s="15" t="s">
        <v>1</v>
      </c>
      <c r="E531" s="15" t="s">
        <v>92</v>
      </c>
      <c r="F531" s="15" t="s">
        <v>96</v>
      </c>
      <c r="G531" s="15"/>
      <c r="H531" s="17" t="str" cm="1">
        <f t="array" ref="H531">Reverse2_6(O531)</f>
        <v>00-010101</v>
      </c>
      <c r="I531" s="18" cm="1">
        <f t="array" ref="I531">HEX2DEC(Reverse(P531))</f>
        <v>93631153</v>
      </c>
      <c r="J531" s="18" cm="1">
        <f t="array" ref="J531">IF(Q531&lt;&gt;0, HEX2DEC(Reverse(Q531))-$I531,"")</f>
        <v>235</v>
      </c>
      <c r="K531" s="18" cm="1">
        <f t="array" ref="K531">IF(R531&lt;&gt;0, HEX2DEC(Reverse(R531))-$I531,"")</f>
        <v>26</v>
      </c>
      <c r="L531" s="18" cm="1">
        <f t="array" ref="L531">IF(S531&lt;&gt;0, HEX2DEC(Reverse(S531))-$I531,"")</f>
        <v>234</v>
      </c>
      <c r="M531" s="18" cm="1">
        <f t="array" ref="M531">IF(T531&lt;&gt;0, HEX2DEC(Reverse(T531))-$I531,"")</f>
        <v>26</v>
      </c>
      <c r="O531" s="3">
        <v>1010100</v>
      </c>
      <c r="P531" s="3" t="s">
        <v>114</v>
      </c>
      <c r="Q531" s="3" t="s">
        <v>1458</v>
      </c>
      <c r="R531" s="3" t="s">
        <v>911</v>
      </c>
      <c r="S531" s="3" t="s">
        <v>1456</v>
      </c>
      <c r="T531" s="3" t="s">
        <v>911</v>
      </c>
      <c r="U531" s="3" t="s">
        <v>1459</v>
      </c>
      <c r="V531" s="4" t="s">
        <v>1460</v>
      </c>
    </row>
    <row r="532" spans="1:22" x14ac:dyDescent="0.2">
      <c r="A532" s="16" t="s">
        <v>620</v>
      </c>
      <c r="B532" s="16">
        <v>3646</v>
      </c>
      <c r="C532" s="15" t="s">
        <v>2</v>
      </c>
      <c r="D532" s="15" t="s">
        <v>1</v>
      </c>
      <c r="E532" s="15" t="s">
        <v>92</v>
      </c>
      <c r="F532" s="15" t="s">
        <v>96</v>
      </c>
      <c r="G532" s="15"/>
      <c r="H532" s="17" t="str" cm="1">
        <f t="array" ref="H532">Reverse2_6(O532)</f>
        <v>00-010101</v>
      </c>
      <c r="I532" s="18" cm="1">
        <f t="array" ref="I532">HEX2DEC(Reverse(P532))</f>
        <v>93631153</v>
      </c>
      <c r="J532" s="18" cm="1">
        <f t="array" ref="J532">IF(Q532&lt;&gt;0, HEX2DEC(Reverse(Q532))-$I532,"")</f>
        <v>236</v>
      </c>
      <c r="K532" s="18" cm="1">
        <f t="array" ref="K532">IF(R532&lt;&gt;0, HEX2DEC(Reverse(R532))-$I532,"")</f>
        <v>26</v>
      </c>
      <c r="L532" s="18" cm="1">
        <f t="array" ref="L532">IF(S532&lt;&gt;0, HEX2DEC(Reverse(S532))-$I532,"")</f>
        <v>235</v>
      </c>
      <c r="M532" s="18" cm="1">
        <f t="array" ref="M532">IF(T532&lt;&gt;0, HEX2DEC(Reverse(T532))-$I532,"")</f>
        <v>26</v>
      </c>
      <c r="O532" s="3">
        <v>1010100</v>
      </c>
      <c r="P532" s="3" t="s">
        <v>114</v>
      </c>
      <c r="Q532" s="3" t="s">
        <v>1461</v>
      </c>
      <c r="R532" s="3" t="s">
        <v>911</v>
      </c>
      <c r="S532" s="3" t="s">
        <v>1458</v>
      </c>
      <c r="T532" s="3" t="s">
        <v>911</v>
      </c>
      <c r="U532" s="3" t="s">
        <v>1462</v>
      </c>
      <c r="V532" s="4" t="s">
        <v>1463</v>
      </c>
    </row>
    <row r="533" spans="1:22" x14ac:dyDescent="0.2">
      <c r="A533" s="16" t="s">
        <v>621</v>
      </c>
      <c r="B533" s="16">
        <v>3647</v>
      </c>
      <c r="C533" s="15" t="s">
        <v>2</v>
      </c>
      <c r="D533" s="15" t="s">
        <v>1</v>
      </c>
      <c r="E533" s="15" t="s">
        <v>92</v>
      </c>
      <c r="F533" s="15" t="s">
        <v>891</v>
      </c>
      <c r="G533" s="15"/>
      <c r="H533" s="17" t="str" cm="1">
        <f t="array" ref="H533">Reverse2_6(O533)</f>
        <v>00-010101</v>
      </c>
      <c r="I533" s="18" cm="1">
        <f t="array" ref="I533">HEX2DEC(Reverse(P533))</f>
        <v>93631153</v>
      </c>
      <c r="J533" s="18" cm="1">
        <f t="array" ref="J533">IF(Q533&lt;&gt;0, HEX2DEC(Reverse(Q533))-$I533,"")</f>
        <v>237</v>
      </c>
      <c r="K533" s="18" cm="1">
        <f t="array" ref="K533">IF(R533&lt;&gt;0, HEX2DEC(Reverse(R533))-$I533,"")</f>
        <v>26</v>
      </c>
      <c r="L533" s="18" cm="1">
        <f t="array" ref="L533">IF(S533&lt;&gt;0, HEX2DEC(Reverse(S533))-$I533,"")</f>
        <v>236</v>
      </c>
      <c r="M533" s="18" cm="1">
        <f t="array" ref="M533">IF(T533&lt;&gt;0, HEX2DEC(Reverse(T533))-$I533,"")</f>
        <v>26</v>
      </c>
      <c r="O533" s="3">
        <v>1010100</v>
      </c>
      <c r="P533" s="3" t="s">
        <v>114</v>
      </c>
      <c r="Q533" s="3" t="s">
        <v>1464</v>
      </c>
      <c r="R533" s="3" t="s">
        <v>911</v>
      </c>
      <c r="S533" s="3" t="s">
        <v>1461</v>
      </c>
      <c r="T533" s="3" t="s">
        <v>911</v>
      </c>
      <c r="U533" s="3" t="s">
        <v>1465</v>
      </c>
      <c r="V533" s="4" t="s">
        <v>1466</v>
      </c>
    </row>
    <row r="534" spans="1:22" x14ac:dyDescent="0.2">
      <c r="A534" s="20" t="s">
        <v>622</v>
      </c>
      <c r="B534" s="20">
        <v>3648</v>
      </c>
      <c r="C534" s="21" t="s">
        <v>1</v>
      </c>
      <c r="D534" s="21" t="s">
        <v>2</v>
      </c>
      <c r="E534" s="21" t="s">
        <v>90</v>
      </c>
      <c r="F534" s="21" t="s">
        <v>94</v>
      </c>
      <c r="G534" s="21" t="s">
        <v>1778</v>
      </c>
      <c r="H534" s="22" t="str" cm="1">
        <f t="array" ref="H534">Reverse2_6(O534)</f>
        <v>00-010201</v>
      </c>
      <c r="I534" s="45" cm="1">
        <f t="array" ref="I534">HEX2DEC(Reverse(P534))</f>
        <v>93631153</v>
      </c>
      <c r="J534" s="45" cm="1">
        <f t="array" ref="J534">IF(Q534&lt;&gt;0, HEX2DEC(Reverse(Q534))-$I534,"")</f>
        <v>28</v>
      </c>
      <c r="K534" s="45" cm="1">
        <f t="array" ref="K534">IF(R534&lt;&gt;0, HEX2DEC(Reverse(R534))-$I534,"")</f>
        <v>234</v>
      </c>
      <c r="L534" s="45" t="str" cm="1">
        <f t="array" ref="L534">IF(S534&lt;&gt;0, HEX2DEC(Reverse(S534))-$I534,"")</f>
        <v/>
      </c>
      <c r="M534" s="45" cm="1">
        <f t="array" ref="M534">IF(T534&lt;&gt;0, HEX2DEC(Reverse(T534))-$I534,"")</f>
        <v>233</v>
      </c>
      <c r="O534" s="3">
        <v>1020100</v>
      </c>
      <c r="P534" s="3" t="s">
        <v>114</v>
      </c>
      <c r="Q534" s="3" t="s">
        <v>915</v>
      </c>
      <c r="R534" s="3" t="s">
        <v>1456</v>
      </c>
      <c r="S534" s="3">
        <v>0</v>
      </c>
      <c r="T534" s="3" t="s">
        <v>1453</v>
      </c>
      <c r="U534" s="3"/>
      <c r="V534" s="4"/>
    </row>
    <row r="535" spans="1:22" x14ac:dyDescent="0.2">
      <c r="A535" s="20" t="s">
        <v>623</v>
      </c>
      <c r="B535" s="20">
        <v>3649</v>
      </c>
      <c r="C535" s="21" t="s">
        <v>1</v>
      </c>
      <c r="D535" s="21" t="s">
        <v>2</v>
      </c>
      <c r="E535" s="21" t="s">
        <v>90</v>
      </c>
      <c r="F535" s="21" t="s">
        <v>94</v>
      </c>
      <c r="G535" s="21" t="s">
        <v>1778</v>
      </c>
      <c r="H535" s="22" t="str" cm="1">
        <f t="array" ref="H535">Reverse2_6(O535)</f>
        <v>00-010201</v>
      </c>
      <c r="I535" s="45" cm="1">
        <f t="array" ref="I535">HEX2DEC(Reverse(P535))</f>
        <v>93631153</v>
      </c>
      <c r="J535" s="45" cm="1">
        <f t="array" ref="J535">IF(Q535&lt;&gt;0, HEX2DEC(Reverse(Q535))-$I535,"")</f>
        <v>28</v>
      </c>
      <c r="K535" s="45" cm="1">
        <f t="array" ref="K535">IF(R535&lt;&gt;0, HEX2DEC(Reverse(R535))-$I535,"")</f>
        <v>235</v>
      </c>
      <c r="L535" s="45" t="str" cm="1">
        <f t="array" ref="L535">IF(S535&lt;&gt;0, HEX2DEC(Reverse(S535))-$I535,"")</f>
        <v/>
      </c>
      <c r="M535" s="45" cm="1">
        <f t="array" ref="M535">IF(T535&lt;&gt;0, HEX2DEC(Reverse(T535))-$I535,"")</f>
        <v>234</v>
      </c>
      <c r="O535" s="3">
        <v>1020100</v>
      </c>
      <c r="P535" s="3" t="s">
        <v>114</v>
      </c>
      <c r="Q535" s="3" t="s">
        <v>915</v>
      </c>
      <c r="R535" s="3" t="s">
        <v>1458</v>
      </c>
      <c r="S535" s="3">
        <v>0</v>
      </c>
      <c r="T535" s="3" t="s">
        <v>1456</v>
      </c>
      <c r="U535" s="3"/>
      <c r="V535" s="4"/>
    </row>
    <row r="536" spans="1:22" x14ac:dyDescent="0.2">
      <c r="A536" s="20" t="s">
        <v>624</v>
      </c>
      <c r="B536" s="20">
        <v>3650</v>
      </c>
      <c r="C536" s="21" t="s">
        <v>1</v>
      </c>
      <c r="D536" s="21" t="s">
        <v>2</v>
      </c>
      <c r="E536" s="21" t="s">
        <v>90</v>
      </c>
      <c r="F536" s="21" t="s">
        <v>94</v>
      </c>
      <c r="G536" s="21" t="s">
        <v>1778</v>
      </c>
      <c r="H536" s="22" t="str" cm="1">
        <f t="array" ref="H536">Reverse2_6(O536)</f>
        <v>00-010201</v>
      </c>
      <c r="I536" s="45" cm="1">
        <f t="array" ref="I536">HEX2DEC(Reverse(P536))</f>
        <v>93631153</v>
      </c>
      <c r="J536" s="45" cm="1">
        <f t="array" ref="J536">IF(Q536&lt;&gt;0, HEX2DEC(Reverse(Q536))-$I536,"")</f>
        <v>28</v>
      </c>
      <c r="K536" s="45" cm="1">
        <f t="array" ref="K536">IF(R536&lt;&gt;0, HEX2DEC(Reverse(R536))-$I536,"")</f>
        <v>236</v>
      </c>
      <c r="L536" s="45" t="str" cm="1">
        <f t="array" ref="L536">IF(S536&lt;&gt;0, HEX2DEC(Reverse(S536))-$I536,"")</f>
        <v/>
      </c>
      <c r="M536" s="45" cm="1">
        <f t="array" ref="M536">IF(T536&lt;&gt;0, HEX2DEC(Reverse(T536))-$I536,"")</f>
        <v>235</v>
      </c>
      <c r="O536" s="3">
        <v>1020100</v>
      </c>
      <c r="P536" s="3" t="s">
        <v>114</v>
      </c>
      <c r="Q536" s="3" t="s">
        <v>915</v>
      </c>
      <c r="R536" s="3" t="s">
        <v>1461</v>
      </c>
      <c r="S536" s="3">
        <v>0</v>
      </c>
      <c r="T536" s="3" t="s">
        <v>1458</v>
      </c>
      <c r="U536" s="3"/>
      <c r="V536" s="4"/>
    </row>
    <row r="537" spans="1:22" x14ac:dyDescent="0.2">
      <c r="A537" s="20" t="s">
        <v>625</v>
      </c>
      <c r="B537" s="20">
        <v>3651</v>
      </c>
      <c r="C537" s="21" t="s">
        <v>1</v>
      </c>
      <c r="D537" s="21" t="s">
        <v>2</v>
      </c>
      <c r="E537" s="21" t="s">
        <v>90</v>
      </c>
      <c r="F537" s="21" t="s">
        <v>94</v>
      </c>
      <c r="G537" s="21" t="s">
        <v>1778</v>
      </c>
      <c r="H537" s="22" t="str" cm="1">
        <f t="array" ref="H537">Reverse2_6(O537)</f>
        <v>00-010201</v>
      </c>
      <c r="I537" s="45" cm="1">
        <f t="array" ref="I537">HEX2DEC(Reverse(P537))</f>
        <v>93631153</v>
      </c>
      <c r="J537" s="45" cm="1">
        <f t="array" ref="J537">IF(Q537&lt;&gt;0, HEX2DEC(Reverse(Q537))-$I537,"")</f>
        <v>28</v>
      </c>
      <c r="K537" s="45" cm="1">
        <f t="array" ref="K537">IF(R537&lt;&gt;0, HEX2DEC(Reverse(R537))-$I537,"")</f>
        <v>237</v>
      </c>
      <c r="L537" s="45" t="str" cm="1">
        <f t="array" ref="L537">IF(S537&lt;&gt;0, HEX2DEC(Reverse(S537))-$I537,"")</f>
        <v/>
      </c>
      <c r="M537" s="45" cm="1">
        <f t="array" ref="M537">IF(T537&lt;&gt;0, HEX2DEC(Reverse(T537))-$I537,"")</f>
        <v>236</v>
      </c>
      <c r="O537" s="3">
        <v>1020100</v>
      </c>
      <c r="P537" s="3" t="s">
        <v>114</v>
      </c>
      <c r="Q537" s="3" t="s">
        <v>915</v>
      </c>
      <c r="R537" s="3" t="s">
        <v>1464</v>
      </c>
      <c r="S537" s="3">
        <v>0</v>
      </c>
      <c r="T537" s="3" t="s">
        <v>1461</v>
      </c>
      <c r="U537" s="3"/>
      <c r="V537" s="4"/>
    </row>
    <row r="538" spans="1:22" x14ac:dyDescent="0.2">
      <c r="A538" s="24" t="s">
        <v>626</v>
      </c>
      <c r="B538" s="24">
        <v>3654</v>
      </c>
      <c r="C538" s="25" t="s">
        <v>2</v>
      </c>
      <c r="D538" s="25" t="s">
        <v>1</v>
      </c>
      <c r="E538" s="25" t="s">
        <v>92</v>
      </c>
      <c r="F538" s="25" t="s">
        <v>94</v>
      </c>
      <c r="G538" s="25" t="s">
        <v>1777</v>
      </c>
      <c r="H538" s="26" t="str" cm="1">
        <f t="array" ref="H538">Reverse2_6(O538)</f>
        <v>00-010201</v>
      </c>
      <c r="I538" s="43" cm="1">
        <f t="array" ref="I538">HEX2DEC(Reverse(P538))</f>
        <v>93631153</v>
      </c>
      <c r="J538" s="43" cm="1">
        <f t="array" ref="J538">IF(Q538&lt;&gt;0, HEX2DEC(Reverse(Q538))-$I538,"")</f>
        <v>237</v>
      </c>
      <c r="K538" s="43" cm="1">
        <f t="array" ref="K538">IF(R538&lt;&gt;0, HEX2DEC(Reverse(R538))-$I538,"")</f>
        <v>27</v>
      </c>
      <c r="L538" s="43" t="str" cm="1">
        <f t="array" ref="L538">IF(S538&lt;&gt;0, HEX2DEC(Reverse(S538))-$I538,"")</f>
        <v/>
      </c>
      <c r="M538" s="43" cm="1">
        <f t="array" ref="M538">IF(T538&lt;&gt;0, HEX2DEC(Reverse(T538))-$I538,"")</f>
        <v>27</v>
      </c>
      <c r="O538" s="26">
        <v>1020100</v>
      </c>
      <c r="P538" s="26" t="s">
        <v>114</v>
      </c>
      <c r="Q538" s="26" t="s">
        <v>1464</v>
      </c>
      <c r="R538" s="3" t="s">
        <v>913</v>
      </c>
      <c r="S538" s="26">
        <v>0</v>
      </c>
      <c r="T538" s="26" t="s">
        <v>913</v>
      </c>
      <c r="U538" s="3"/>
      <c r="V538" s="4"/>
    </row>
    <row r="539" spans="1:22" x14ac:dyDescent="0.2">
      <c r="A539" s="16" t="s">
        <v>627</v>
      </c>
      <c r="B539" s="16">
        <v>3659</v>
      </c>
      <c r="C539" s="15" t="s">
        <v>2</v>
      </c>
      <c r="D539" s="15" t="s">
        <v>1</v>
      </c>
      <c r="E539" s="15" t="s">
        <v>92</v>
      </c>
      <c r="F539" s="15" t="s">
        <v>869</v>
      </c>
      <c r="G539" s="15"/>
      <c r="H539" s="17" t="str" cm="1">
        <f t="array" ref="H539">Reverse2_6(O539)</f>
        <v>00-010101</v>
      </c>
      <c r="I539" s="18" cm="1">
        <f t="array" ref="I539">HEX2DEC(Reverse(P539))</f>
        <v>93631153</v>
      </c>
      <c r="J539" s="18" cm="1">
        <f t="array" ref="J539">IF(Q539&lt;&gt;0, HEX2DEC(Reverse(Q539))-$I539,"")</f>
        <v>238</v>
      </c>
      <c r="K539" s="18" cm="1">
        <f t="array" ref="K539">IF(R539&lt;&gt;0, HEX2DEC(Reverse(R539))-$I539,"")</f>
        <v>27</v>
      </c>
      <c r="L539" s="18" cm="1">
        <f t="array" ref="L539">IF(S539&lt;&gt;0, HEX2DEC(Reverse(S539))-$I539,"")</f>
        <v>222</v>
      </c>
      <c r="M539" s="18" cm="1">
        <f t="array" ref="M539">IF(T539&lt;&gt;0, HEX2DEC(Reverse(T539))-$I539,"")</f>
        <v>27</v>
      </c>
      <c r="O539" s="3">
        <v>1010100</v>
      </c>
      <c r="P539" s="3" t="s">
        <v>114</v>
      </c>
      <c r="Q539" s="3" t="s">
        <v>1467</v>
      </c>
      <c r="R539" s="3" t="s">
        <v>913</v>
      </c>
      <c r="S539" s="3" t="s">
        <v>1428</v>
      </c>
      <c r="T539" s="3" t="s">
        <v>913</v>
      </c>
      <c r="U539" s="3">
        <v>31313131</v>
      </c>
      <c r="V539" s="4" t="s">
        <v>1259</v>
      </c>
    </row>
    <row r="540" spans="1:22" x14ac:dyDescent="0.2">
      <c r="A540" s="16" t="s">
        <v>628</v>
      </c>
      <c r="B540" s="16">
        <v>3660</v>
      </c>
      <c r="C540" s="15" t="s">
        <v>2</v>
      </c>
      <c r="D540" s="15" t="s">
        <v>1</v>
      </c>
      <c r="E540" s="15" t="s">
        <v>92</v>
      </c>
      <c r="F540" s="15" t="s">
        <v>96</v>
      </c>
      <c r="G540" s="15"/>
      <c r="H540" s="17" t="str" cm="1">
        <f t="array" ref="H540">Reverse2_6(O540)</f>
        <v>00-010101</v>
      </c>
      <c r="I540" s="18" cm="1">
        <f t="array" ref="I540">HEX2DEC(Reverse(P540))</f>
        <v>93631153</v>
      </c>
      <c r="J540" s="18" cm="1">
        <f t="array" ref="J540">IF(Q540&lt;&gt;0, HEX2DEC(Reverse(Q540))-$I540,"")</f>
        <v>239</v>
      </c>
      <c r="K540" s="18" cm="1">
        <f t="array" ref="K540">IF(R540&lt;&gt;0, HEX2DEC(Reverse(R540))-$I540,"")</f>
        <v>27</v>
      </c>
      <c r="L540" s="18" cm="1">
        <f t="array" ref="L540">IF(S540&lt;&gt;0, HEX2DEC(Reverse(S540))-$I540,"")</f>
        <v>237</v>
      </c>
      <c r="M540" s="18" cm="1">
        <f t="array" ref="M540">IF(T540&lt;&gt;0, HEX2DEC(Reverse(T540))-$I540,"")</f>
        <v>27</v>
      </c>
      <c r="O540" s="3">
        <v>1010100</v>
      </c>
      <c r="P540" s="3" t="s">
        <v>114</v>
      </c>
      <c r="Q540" s="3" t="s">
        <v>1468</v>
      </c>
      <c r="R540" s="3" t="s">
        <v>913</v>
      </c>
      <c r="S540" s="3" t="s">
        <v>1464</v>
      </c>
      <c r="T540" s="3" t="s">
        <v>913</v>
      </c>
      <c r="U540" s="3">
        <v>31313131</v>
      </c>
      <c r="V540" s="4" t="s">
        <v>1469</v>
      </c>
    </row>
    <row r="541" spans="1:22" x14ac:dyDescent="0.2">
      <c r="A541" s="16" t="s">
        <v>629</v>
      </c>
      <c r="B541" s="16">
        <v>3661</v>
      </c>
      <c r="C541" s="15" t="s">
        <v>2</v>
      </c>
      <c r="D541" s="15" t="s">
        <v>1</v>
      </c>
      <c r="E541" s="15" t="s">
        <v>92</v>
      </c>
      <c r="F541" s="15" t="s">
        <v>892</v>
      </c>
      <c r="G541" s="15"/>
      <c r="H541" s="17" t="str" cm="1">
        <f t="array" ref="H541">Reverse2_6(O541)</f>
        <v>00-010101</v>
      </c>
      <c r="I541" s="18" cm="1">
        <f t="array" ref="I541">HEX2DEC(Reverse(P541))</f>
        <v>93631153</v>
      </c>
      <c r="J541" s="18" cm="1">
        <f t="array" ref="J541">IF(Q541&lt;&gt;0, HEX2DEC(Reverse(Q541))-$I541,"")</f>
        <v>240</v>
      </c>
      <c r="K541" s="18" cm="1">
        <f t="array" ref="K541">IF(R541&lt;&gt;0, HEX2DEC(Reverse(R541))-$I541,"")</f>
        <v>27</v>
      </c>
      <c r="L541" s="18" cm="1">
        <f t="array" ref="L541">IF(S541&lt;&gt;0, HEX2DEC(Reverse(S541))-$I541,"")</f>
        <v>238</v>
      </c>
      <c r="M541" s="18" cm="1">
        <f t="array" ref="M541">IF(T541&lt;&gt;0, HEX2DEC(Reverse(T541))-$I541,"")</f>
        <v>27</v>
      </c>
      <c r="O541" s="3">
        <v>1010100</v>
      </c>
      <c r="P541" s="3" t="s">
        <v>114</v>
      </c>
      <c r="Q541" s="3" t="s">
        <v>1470</v>
      </c>
      <c r="R541" s="3" t="s">
        <v>913</v>
      </c>
      <c r="S541" s="3" t="s">
        <v>1467</v>
      </c>
      <c r="T541" s="3" t="s">
        <v>913</v>
      </c>
      <c r="U541" s="3" t="s">
        <v>1471</v>
      </c>
      <c r="V541" s="4" t="s">
        <v>1472</v>
      </c>
    </row>
    <row r="542" spans="1:22" x14ac:dyDescent="0.2">
      <c r="A542" s="20" t="s">
        <v>630</v>
      </c>
      <c r="B542" s="20">
        <v>3662</v>
      </c>
      <c r="C542" s="21" t="s">
        <v>1</v>
      </c>
      <c r="D542" s="21" t="s">
        <v>2</v>
      </c>
      <c r="E542" s="21" t="s">
        <v>90</v>
      </c>
      <c r="F542" s="21" t="s">
        <v>94</v>
      </c>
      <c r="G542" s="21" t="s">
        <v>1778</v>
      </c>
      <c r="H542" s="22" t="str" cm="1">
        <f t="array" ref="H542">Reverse2_6(O542)</f>
        <v>00-010201</v>
      </c>
      <c r="I542" s="45" cm="1">
        <f t="array" ref="I542">HEX2DEC(Reverse(P542))</f>
        <v>93631153</v>
      </c>
      <c r="J542" s="45" cm="1">
        <f t="array" ref="J542">IF(Q542&lt;&gt;0, HEX2DEC(Reverse(Q542))-$I542,"")</f>
        <v>28</v>
      </c>
      <c r="K542" s="45" cm="1">
        <f t="array" ref="K542">IF(R542&lt;&gt;0, HEX2DEC(Reverse(R542))-$I542,"")</f>
        <v>238</v>
      </c>
      <c r="L542" s="45" t="str" cm="1">
        <f t="array" ref="L542">IF(S542&lt;&gt;0, HEX2DEC(Reverse(S542))-$I542,"")</f>
        <v/>
      </c>
      <c r="M542" s="45" cm="1">
        <f t="array" ref="M542">IF(T542&lt;&gt;0, HEX2DEC(Reverse(T542))-$I542,"")</f>
        <v>236</v>
      </c>
      <c r="O542" s="3">
        <v>1020100</v>
      </c>
      <c r="P542" s="3" t="s">
        <v>114</v>
      </c>
      <c r="Q542" s="3" t="s">
        <v>915</v>
      </c>
      <c r="R542" s="3" t="s">
        <v>1467</v>
      </c>
      <c r="S542" s="3">
        <v>0</v>
      </c>
      <c r="T542" s="3" t="s">
        <v>1461</v>
      </c>
      <c r="U542" s="3"/>
      <c r="V542" s="4"/>
    </row>
    <row r="543" spans="1:22" x14ac:dyDescent="0.2">
      <c r="A543" s="20" t="s">
        <v>631</v>
      </c>
      <c r="B543" s="20">
        <v>3663</v>
      </c>
      <c r="C543" s="21" t="s">
        <v>1</v>
      </c>
      <c r="D543" s="21" t="s">
        <v>2</v>
      </c>
      <c r="E543" s="21" t="s">
        <v>90</v>
      </c>
      <c r="F543" s="21" t="s">
        <v>94</v>
      </c>
      <c r="G543" s="21" t="s">
        <v>1778</v>
      </c>
      <c r="H543" s="22" t="str" cm="1">
        <f t="array" ref="H543">Reverse2_6(O543)</f>
        <v>00-010201</v>
      </c>
      <c r="I543" s="45" cm="1">
        <f t="array" ref="I543">HEX2DEC(Reverse(P543))</f>
        <v>93631153</v>
      </c>
      <c r="J543" s="45" cm="1">
        <f t="array" ref="J543">IF(Q543&lt;&gt;0, HEX2DEC(Reverse(Q543))-$I543,"")</f>
        <v>28</v>
      </c>
      <c r="K543" s="45" cm="1">
        <f t="array" ref="K543">IF(R543&lt;&gt;0, HEX2DEC(Reverse(R543))-$I543,"")</f>
        <v>239</v>
      </c>
      <c r="L543" s="45" t="str" cm="1">
        <f t="array" ref="L543">IF(S543&lt;&gt;0, HEX2DEC(Reverse(S543))-$I543,"")</f>
        <v/>
      </c>
      <c r="M543" s="45" cm="1">
        <f t="array" ref="M543">IF(T543&lt;&gt;0, HEX2DEC(Reverse(T543))-$I543,"")</f>
        <v>237</v>
      </c>
      <c r="O543" s="3">
        <v>1020100</v>
      </c>
      <c r="P543" s="3" t="s">
        <v>114</v>
      </c>
      <c r="Q543" s="3" t="s">
        <v>915</v>
      </c>
      <c r="R543" s="3" t="s">
        <v>1468</v>
      </c>
      <c r="S543" s="3">
        <v>0</v>
      </c>
      <c r="T543" s="3" t="s">
        <v>1464</v>
      </c>
      <c r="U543" s="3"/>
      <c r="V543" s="4"/>
    </row>
    <row r="544" spans="1:22" x14ac:dyDescent="0.2">
      <c r="A544" s="20" t="s">
        <v>632</v>
      </c>
      <c r="B544" s="20">
        <v>3664</v>
      </c>
      <c r="C544" s="21" t="s">
        <v>1</v>
      </c>
      <c r="D544" s="21" t="s">
        <v>2</v>
      </c>
      <c r="E544" s="21" t="s">
        <v>90</v>
      </c>
      <c r="F544" s="21" t="s">
        <v>94</v>
      </c>
      <c r="G544" s="21" t="s">
        <v>1778</v>
      </c>
      <c r="H544" s="22" t="str" cm="1">
        <f t="array" ref="H544">Reverse2_6(O544)</f>
        <v>00-010201</v>
      </c>
      <c r="I544" s="45" cm="1">
        <f t="array" ref="I544">HEX2DEC(Reverse(P544))</f>
        <v>93631153</v>
      </c>
      <c r="J544" s="45" cm="1">
        <f t="array" ref="J544">IF(Q544&lt;&gt;0, HEX2DEC(Reverse(Q544))-$I544,"")</f>
        <v>28</v>
      </c>
      <c r="K544" s="45" cm="1">
        <f t="array" ref="K544">IF(R544&lt;&gt;0, HEX2DEC(Reverse(R544))-$I544,"")</f>
        <v>240</v>
      </c>
      <c r="L544" s="45" t="str" cm="1">
        <f t="array" ref="L544">IF(S544&lt;&gt;0, HEX2DEC(Reverse(S544))-$I544,"")</f>
        <v/>
      </c>
      <c r="M544" s="45" cm="1">
        <f t="array" ref="M544">IF(T544&lt;&gt;0, HEX2DEC(Reverse(T544))-$I544,"")</f>
        <v>238</v>
      </c>
      <c r="O544" s="3">
        <v>1020100</v>
      </c>
      <c r="P544" s="3" t="s">
        <v>114</v>
      </c>
      <c r="Q544" s="3" t="s">
        <v>915</v>
      </c>
      <c r="R544" s="3" t="s">
        <v>1470</v>
      </c>
      <c r="S544" s="3">
        <v>0</v>
      </c>
      <c r="T544" s="3" t="s">
        <v>1467</v>
      </c>
      <c r="U544" s="3"/>
      <c r="V544" s="4"/>
    </row>
    <row r="545" spans="1:22" x14ac:dyDescent="0.2">
      <c r="A545" s="16" t="s">
        <v>633</v>
      </c>
      <c r="B545" s="16">
        <v>3669</v>
      </c>
      <c r="C545" s="15" t="s">
        <v>2</v>
      </c>
      <c r="D545" s="15" t="s">
        <v>1</v>
      </c>
      <c r="E545" s="15" t="s">
        <v>92</v>
      </c>
      <c r="F545" s="15" t="s">
        <v>96</v>
      </c>
      <c r="G545" s="15"/>
      <c r="H545" s="17" t="str" cm="1">
        <f t="array" ref="H545">Reverse2_6(O545)</f>
        <v>00-010101</v>
      </c>
      <c r="I545" s="18" cm="1">
        <f t="array" ref="I545">HEX2DEC(Reverse(P545))</f>
        <v>93631153</v>
      </c>
      <c r="J545" s="18" cm="1">
        <f t="array" ref="J545">IF(Q545&lt;&gt;0, HEX2DEC(Reverse(Q545))-$I545,"")</f>
        <v>241</v>
      </c>
      <c r="K545" s="18" cm="1">
        <f t="array" ref="K545">IF(R545&lt;&gt;0, HEX2DEC(Reverse(R545))-$I545,"")</f>
        <v>28</v>
      </c>
      <c r="L545" s="18" cm="1">
        <f t="array" ref="L545">IF(S545&lt;&gt;0, HEX2DEC(Reverse(S545))-$I545,"")</f>
        <v>239</v>
      </c>
      <c r="M545" s="18" cm="1">
        <f t="array" ref="M545">IF(T545&lt;&gt;0, HEX2DEC(Reverse(T545))-$I545,"")</f>
        <v>28</v>
      </c>
      <c r="O545" s="3">
        <v>1010100</v>
      </c>
      <c r="P545" s="3" t="s">
        <v>114</v>
      </c>
      <c r="Q545" s="3" t="s">
        <v>1473</v>
      </c>
      <c r="R545" s="3" t="s">
        <v>915</v>
      </c>
      <c r="S545" s="3" t="s">
        <v>1468</v>
      </c>
      <c r="T545" s="3" t="s">
        <v>915</v>
      </c>
      <c r="U545" s="3">
        <v>31313131</v>
      </c>
      <c r="V545" s="4" t="s">
        <v>151</v>
      </c>
    </row>
    <row r="546" spans="1:22" x14ac:dyDescent="0.2">
      <c r="A546" s="16" t="s">
        <v>634</v>
      </c>
      <c r="B546" s="16">
        <v>3670</v>
      </c>
      <c r="C546" s="15" t="s">
        <v>2</v>
      </c>
      <c r="D546" s="15" t="s">
        <v>1</v>
      </c>
      <c r="E546" s="15" t="s">
        <v>92</v>
      </c>
      <c r="F546" s="15" t="s">
        <v>96</v>
      </c>
      <c r="G546" s="15"/>
      <c r="H546" s="17" t="str" cm="1">
        <f t="array" ref="H546">Reverse2_6(O546)</f>
        <v>00-010101</v>
      </c>
      <c r="I546" s="18" cm="1">
        <f t="array" ref="I546">HEX2DEC(Reverse(P546))</f>
        <v>93631153</v>
      </c>
      <c r="J546" s="18" cm="1">
        <f t="array" ref="J546">IF(Q546&lt;&gt;0, HEX2DEC(Reverse(Q546))-$I546,"")</f>
        <v>242</v>
      </c>
      <c r="K546" s="18" cm="1">
        <f t="array" ref="K546">IF(R546&lt;&gt;0, HEX2DEC(Reverse(R546))-$I546,"")</f>
        <v>28</v>
      </c>
      <c r="L546" s="18" cm="1">
        <f t="array" ref="L546">IF(S546&lt;&gt;0, HEX2DEC(Reverse(S546))-$I546,"")</f>
        <v>240</v>
      </c>
      <c r="M546" s="18" cm="1">
        <f t="array" ref="M546">IF(T546&lt;&gt;0, HEX2DEC(Reverse(T546))-$I546,"")</f>
        <v>28</v>
      </c>
      <c r="O546" s="3">
        <v>1010100</v>
      </c>
      <c r="P546" s="3" t="s">
        <v>114</v>
      </c>
      <c r="Q546" s="3" t="s">
        <v>1474</v>
      </c>
      <c r="R546" s="3" t="s">
        <v>915</v>
      </c>
      <c r="S546" s="3" t="s">
        <v>1470</v>
      </c>
      <c r="T546" s="3" t="s">
        <v>915</v>
      </c>
      <c r="U546" s="3" t="s">
        <v>1475</v>
      </c>
      <c r="V546" s="4" t="s">
        <v>1476</v>
      </c>
    </row>
    <row r="547" spans="1:22" x14ac:dyDescent="0.2">
      <c r="A547" s="16" t="s">
        <v>635</v>
      </c>
      <c r="B547" s="16">
        <v>3671</v>
      </c>
      <c r="C547" s="15" t="s">
        <v>2</v>
      </c>
      <c r="D547" s="15" t="s">
        <v>1</v>
      </c>
      <c r="E547" s="15" t="s">
        <v>92</v>
      </c>
      <c r="F547" s="15" t="s">
        <v>874</v>
      </c>
      <c r="G547" s="15"/>
      <c r="H547" s="17" t="str" cm="1">
        <f t="array" ref="H547">Reverse2_6(O547)</f>
        <v>00-010101</v>
      </c>
      <c r="I547" s="18" cm="1">
        <f t="array" ref="I547">HEX2DEC(Reverse(P547))</f>
        <v>93631153</v>
      </c>
      <c r="J547" s="18" cm="1">
        <f t="array" ref="J547">IF(Q547&lt;&gt;0, HEX2DEC(Reverse(Q547))-$I547,"")</f>
        <v>243</v>
      </c>
      <c r="K547" s="18" cm="1">
        <f t="array" ref="K547">IF(R547&lt;&gt;0, HEX2DEC(Reverse(R547))-$I547,"")</f>
        <v>28</v>
      </c>
      <c r="L547" s="18" cm="1">
        <f t="array" ref="L547">IF(S547&lt;&gt;0, HEX2DEC(Reverse(S547))-$I547,"")</f>
        <v>241</v>
      </c>
      <c r="M547" s="18" cm="1">
        <f t="array" ref="M547">IF(T547&lt;&gt;0, HEX2DEC(Reverse(T547))-$I547,"")</f>
        <v>28</v>
      </c>
      <c r="O547" s="3">
        <v>1010100</v>
      </c>
      <c r="P547" s="3" t="s">
        <v>114</v>
      </c>
      <c r="Q547" s="3" t="s">
        <v>1477</v>
      </c>
      <c r="R547" s="3" t="s">
        <v>915</v>
      </c>
      <c r="S547" s="3" t="s">
        <v>1473</v>
      </c>
      <c r="T547" s="3" t="s">
        <v>915</v>
      </c>
      <c r="U547" s="3" t="s">
        <v>1478</v>
      </c>
      <c r="V547" s="4" t="s">
        <v>1479</v>
      </c>
    </row>
    <row r="548" spans="1:22" x14ac:dyDescent="0.2">
      <c r="A548" s="20" t="s">
        <v>636</v>
      </c>
      <c r="B548" s="20">
        <v>3672</v>
      </c>
      <c r="C548" s="21" t="s">
        <v>1</v>
      </c>
      <c r="D548" s="21" t="s">
        <v>2</v>
      </c>
      <c r="E548" s="21" t="s">
        <v>90</v>
      </c>
      <c r="F548" s="21" t="s">
        <v>94</v>
      </c>
      <c r="G548" s="21" t="s">
        <v>1778</v>
      </c>
      <c r="H548" s="22" t="str" cm="1">
        <f t="array" ref="H548">Reverse2_6(O548)</f>
        <v>00-010201</v>
      </c>
      <c r="I548" s="45" cm="1">
        <f t="array" ref="I548">HEX2DEC(Reverse(P548))</f>
        <v>93631153</v>
      </c>
      <c r="J548" s="45" cm="1">
        <f t="array" ref="J548">IF(Q548&lt;&gt;0, HEX2DEC(Reverse(Q548))-$I548,"")</f>
        <v>28</v>
      </c>
      <c r="K548" s="45" cm="1">
        <f t="array" ref="K548">IF(R548&lt;&gt;0, HEX2DEC(Reverse(R548))-$I548,"")</f>
        <v>241</v>
      </c>
      <c r="L548" s="45" t="str" cm="1">
        <f t="array" ref="L548">IF(S548&lt;&gt;0, HEX2DEC(Reverse(S548))-$I548,"")</f>
        <v/>
      </c>
      <c r="M548" s="45" cm="1">
        <f t="array" ref="M548">IF(T548&lt;&gt;0, HEX2DEC(Reverse(T548))-$I548,"")</f>
        <v>239</v>
      </c>
      <c r="O548" s="3">
        <v>1020100</v>
      </c>
      <c r="P548" s="3" t="s">
        <v>114</v>
      </c>
      <c r="Q548" s="3" t="s">
        <v>915</v>
      </c>
      <c r="R548" s="3" t="s">
        <v>1473</v>
      </c>
      <c r="S548" s="3">
        <v>0</v>
      </c>
      <c r="T548" s="3" t="s">
        <v>1468</v>
      </c>
      <c r="U548" s="3"/>
      <c r="V548" s="4"/>
    </row>
    <row r="549" spans="1:22" x14ac:dyDescent="0.2">
      <c r="A549" s="20" t="s">
        <v>637</v>
      </c>
      <c r="B549" s="20">
        <v>3673</v>
      </c>
      <c r="C549" s="21" t="s">
        <v>1</v>
      </c>
      <c r="D549" s="21" t="s">
        <v>2</v>
      </c>
      <c r="E549" s="21" t="s">
        <v>90</v>
      </c>
      <c r="F549" s="21" t="s">
        <v>94</v>
      </c>
      <c r="G549" s="21" t="s">
        <v>1778</v>
      </c>
      <c r="H549" s="22" t="str" cm="1">
        <f t="array" ref="H549">Reverse2_6(O549)</f>
        <v>00-010201</v>
      </c>
      <c r="I549" s="45" cm="1">
        <f t="array" ref="I549">HEX2DEC(Reverse(P549))</f>
        <v>93631153</v>
      </c>
      <c r="J549" s="45" cm="1">
        <f t="array" ref="J549">IF(Q549&lt;&gt;0, HEX2DEC(Reverse(Q549))-$I549,"")</f>
        <v>28</v>
      </c>
      <c r="K549" s="45" cm="1">
        <f t="array" ref="K549">IF(R549&lt;&gt;0, HEX2DEC(Reverse(R549))-$I549,"")</f>
        <v>242</v>
      </c>
      <c r="L549" s="45" t="str" cm="1">
        <f t="array" ref="L549">IF(S549&lt;&gt;0, HEX2DEC(Reverse(S549))-$I549,"")</f>
        <v/>
      </c>
      <c r="M549" s="45" cm="1">
        <f t="array" ref="M549">IF(T549&lt;&gt;0, HEX2DEC(Reverse(T549))-$I549,"")</f>
        <v>240</v>
      </c>
      <c r="O549" s="3">
        <v>1020100</v>
      </c>
      <c r="P549" s="3" t="s">
        <v>114</v>
      </c>
      <c r="Q549" s="3" t="s">
        <v>915</v>
      </c>
      <c r="R549" s="3" t="s">
        <v>1474</v>
      </c>
      <c r="S549" s="3">
        <v>0</v>
      </c>
      <c r="T549" s="3" t="s">
        <v>1470</v>
      </c>
      <c r="U549" s="3"/>
      <c r="V549" s="4"/>
    </row>
    <row r="550" spans="1:22" x14ac:dyDescent="0.2">
      <c r="A550" s="20" t="s">
        <v>638</v>
      </c>
      <c r="B550" s="20">
        <v>3674</v>
      </c>
      <c r="C550" s="21" t="s">
        <v>1</v>
      </c>
      <c r="D550" s="21" t="s">
        <v>2</v>
      </c>
      <c r="E550" s="21" t="s">
        <v>90</v>
      </c>
      <c r="F550" s="21" t="s">
        <v>94</v>
      </c>
      <c r="G550" s="21" t="s">
        <v>1778</v>
      </c>
      <c r="H550" s="22" t="str" cm="1">
        <f t="array" ref="H550">Reverse2_6(O550)</f>
        <v>00-010201</v>
      </c>
      <c r="I550" s="45" cm="1">
        <f t="array" ref="I550">HEX2DEC(Reverse(P550))</f>
        <v>93631153</v>
      </c>
      <c r="J550" s="45" cm="1">
        <f t="array" ref="J550">IF(Q550&lt;&gt;0, HEX2DEC(Reverse(Q550))-$I550,"")</f>
        <v>28</v>
      </c>
      <c r="K550" s="45" cm="1">
        <f t="array" ref="K550">IF(R550&lt;&gt;0, HEX2DEC(Reverse(R550))-$I550,"")</f>
        <v>243</v>
      </c>
      <c r="L550" s="45" t="str" cm="1">
        <f t="array" ref="L550">IF(S550&lt;&gt;0, HEX2DEC(Reverse(S550))-$I550,"")</f>
        <v/>
      </c>
      <c r="M550" s="45" cm="1">
        <f t="array" ref="M550">IF(T550&lt;&gt;0, HEX2DEC(Reverse(T550))-$I550,"")</f>
        <v>241</v>
      </c>
      <c r="O550" s="3">
        <v>1020100</v>
      </c>
      <c r="P550" s="3" t="s">
        <v>114</v>
      </c>
      <c r="Q550" s="3" t="s">
        <v>915</v>
      </c>
      <c r="R550" s="3" t="s">
        <v>1477</v>
      </c>
      <c r="S550" s="3">
        <v>0</v>
      </c>
      <c r="T550" s="3" t="s">
        <v>1473</v>
      </c>
      <c r="U550" s="3"/>
      <c r="V550" s="4"/>
    </row>
    <row r="551" spans="1:22" x14ac:dyDescent="0.2">
      <c r="A551" s="16" t="s">
        <v>639</v>
      </c>
      <c r="B551" s="16">
        <v>3680</v>
      </c>
      <c r="C551" s="15" t="s">
        <v>2</v>
      </c>
      <c r="D551" s="15" t="s">
        <v>1</v>
      </c>
      <c r="E551" s="15" t="s">
        <v>92</v>
      </c>
      <c r="F551" s="15" t="s">
        <v>96</v>
      </c>
      <c r="G551" s="15"/>
      <c r="H551" s="17" t="str" cm="1">
        <f t="array" ref="H551">Reverse2_6(O551)</f>
        <v>00-010101</v>
      </c>
      <c r="I551" s="18" cm="1">
        <f t="array" ref="I551">HEX2DEC(Reverse(P551))</f>
        <v>93631153</v>
      </c>
      <c r="J551" s="18" cm="1">
        <f t="array" ref="J551">IF(Q551&lt;&gt;0, HEX2DEC(Reverse(Q551))-$I551,"")</f>
        <v>244</v>
      </c>
      <c r="K551" s="18" cm="1">
        <f t="array" ref="K551">IF(R551&lt;&gt;0, HEX2DEC(Reverse(R551))-$I551,"")</f>
        <v>28</v>
      </c>
      <c r="L551" s="18" cm="1">
        <f t="array" ref="L551">IF(S551&lt;&gt;0, HEX2DEC(Reverse(S551))-$I551,"")</f>
        <v>223</v>
      </c>
      <c r="M551" s="18" cm="1">
        <f t="array" ref="M551">IF(T551&lt;&gt;0, HEX2DEC(Reverse(T551))-$I551,"")</f>
        <v>28</v>
      </c>
      <c r="O551" s="3">
        <v>1010100</v>
      </c>
      <c r="P551" s="3" t="s">
        <v>114</v>
      </c>
      <c r="Q551" s="3" t="s">
        <v>1480</v>
      </c>
      <c r="R551" s="3" t="s">
        <v>915</v>
      </c>
      <c r="S551" s="3" t="s">
        <v>1431</v>
      </c>
      <c r="T551" s="3" t="s">
        <v>915</v>
      </c>
      <c r="U551" s="3">
        <v>31313131</v>
      </c>
      <c r="V551" s="4" t="s">
        <v>1433</v>
      </c>
    </row>
    <row r="552" spans="1:22" x14ac:dyDescent="0.2">
      <c r="A552" s="20" t="s">
        <v>640</v>
      </c>
      <c r="B552" s="20">
        <v>3681</v>
      </c>
      <c r="C552" s="21" t="s">
        <v>1</v>
      </c>
      <c r="D552" s="21" t="s">
        <v>2</v>
      </c>
      <c r="E552" s="21" t="s">
        <v>90</v>
      </c>
      <c r="F552" s="21" t="s">
        <v>94</v>
      </c>
      <c r="G552" s="21" t="s">
        <v>1778</v>
      </c>
      <c r="H552" s="22" t="str" cm="1">
        <f t="array" ref="H552">Reverse2_6(O552)</f>
        <v>00-010201</v>
      </c>
      <c r="I552" s="45" cm="1">
        <f t="array" ref="I552">HEX2DEC(Reverse(P552))</f>
        <v>93631153</v>
      </c>
      <c r="J552" s="45" cm="1">
        <f t="array" ref="J552">IF(Q552&lt;&gt;0, HEX2DEC(Reverse(Q552))-$I552,"")</f>
        <v>28</v>
      </c>
      <c r="K552" s="45" cm="1">
        <f t="array" ref="K552">IF(R552&lt;&gt;0, HEX2DEC(Reverse(R552))-$I552,"")</f>
        <v>244</v>
      </c>
      <c r="L552" s="45" t="str" cm="1">
        <f t="array" ref="L552">IF(S552&lt;&gt;0, HEX2DEC(Reverse(S552))-$I552,"")</f>
        <v/>
      </c>
      <c r="M552" s="45" cm="1">
        <f t="array" ref="M552">IF(T552&lt;&gt;0, HEX2DEC(Reverse(T552))-$I552,"")</f>
        <v>241</v>
      </c>
      <c r="O552" s="3">
        <v>1020100</v>
      </c>
      <c r="P552" s="3" t="s">
        <v>114</v>
      </c>
      <c r="Q552" s="3" t="s">
        <v>915</v>
      </c>
      <c r="R552" s="3" t="s">
        <v>1480</v>
      </c>
      <c r="S552" s="3">
        <v>0</v>
      </c>
      <c r="T552" s="3" t="s">
        <v>1473</v>
      </c>
      <c r="U552" s="3"/>
      <c r="V552" s="4"/>
    </row>
    <row r="553" spans="1:22" x14ac:dyDescent="0.2">
      <c r="A553" s="16" t="s">
        <v>641</v>
      </c>
      <c r="B553" s="16">
        <v>3682</v>
      </c>
      <c r="C553" s="15" t="s">
        <v>2</v>
      </c>
      <c r="D553" s="15" t="s">
        <v>1</v>
      </c>
      <c r="E553" s="15" t="s">
        <v>92</v>
      </c>
      <c r="F553" s="15" t="s">
        <v>96</v>
      </c>
      <c r="G553" s="15"/>
      <c r="H553" s="17" t="str" cm="1">
        <f t="array" ref="H553">Reverse2_6(O553)</f>
        <v>00-010101</v>
      </c>
      <c r="I553" s="18" cm="1">
        <f t="array" ref="I553">HEX2DEC(Reverse(P553))</f>
        <v>93631153</v>
      </c>
      <c r="J553" s="18" cm="1">
        <f t="array" ref="J553">IF(Q553&lt;&gt;0, HEX2DEC(Reverse(Q553))-$I553,"")</f>
        <v>245</v>
      </c>
      <c r="K553" s="18" cm="1">
        <f t="array" ref="K553">IF(R553&lt;&gt;0, HEX2DEC(Reverse(R553))-$I553,"")</f>
        <v>28</v>
      </c>
      <c r="L553" s="18" cm="1">
        <f t="array" ref="L553">IF(S553&lt;&gt;0, HEX2DEC(Reverse(S553))-$I553,"")</f>
        <v>224</v>
      </c>
      <c r="M553" s="18" cm="1">
        <f t="array" ref="M553">IF(T553&lt;&gt;0, HEX2DEC(Reverse(T553))-$I553,"")</f>
        <v>28</v>
      </c>
      <c r="O553" s="3">
        <v>1010100</v>
      </c>
      <c r="P553" s="3" t="s">
        <v>114</v>
      </c>
      <c r="Q553" s="3" t="s">
        <v>1481</v>
      </c>
      <c r="R553" s="3" t="s">
        <v>915</v>
      </c>
      <c r="S553" s="3" t="s">
        <v>1432</v>
      </c>
      <c r="T553" s="3" t="s">
        <v>915</v>
      </c>
      <c r="U553" s="3" t="s">
        <v>1435</v>
      </c>
      <c r="V553" s="4" t="s">
        <v>1436</v>
      </c>
    </row>
    <row r="554" spans="1:22" x14ac:dyDescent="0.2">
      <c r="A554" s="16" t="s">
        <v>642</v>
      </c>
      <c r="B554" s="16">
        <v>3683</v>
      </c>
      <c r="C554" s="15" t="s">
        <v>2</v>
      </c>
      <c r="D554" s="15" t="s">
        <v>1</v>
      </c>
      <c r="E554" s="15" t="s">
        <v>92</v>
      </c>
      <c r="F554" s="15" t="s">
        <v>888</v>
      </c>
      <c r="G554" s="15"/>
      <c r="H554" s="17" t="str" cm="1">
        <f t="array" ref="H554">Reverse2_6(O554)</f>
        <v>00-010101</v>
      </c>
      <c r="I554" s="18" cm="1">
        <f t="array" ref="I554">HEX2DEC(Reverse(P554))</f>
        <v>93631153</v>
      </c>
      <c r="J554" s="18" cm="1">
        <f t="array" ref="J554">IF(Q554&lt;&gt;0, HEX2DEC(Reverse(Q554))-$I554,"")</f>
        <v>246</v>
      </c>
      <c r="K554" s="18" cm="1">
        <f t="array" ref="K554">IF(R554&lt;&gt;0, HEX2DEC(Reverse(R554))-$I554,"")</f>
        <v>28</v>
      </c>
      <c r="L554" s="18" cm="1">
        <f t="array" ref="L554">IF(S554&lt;&gt;0, HEX2DEC(Reverse(S554))-$I554,"")</f>
        <v>225</v>
      </c>
      <c r="M554" s="18" cm="1">
        <f t="array" ref="M554">IF(T554&lt;&gt;0, HEX2DEC(Reverse(T554))-$I554,"")</f>
        <v>28</v>
      </c>
      <c r="O554" s="3">
        <v>1010100</v>
      </c>
      <c r="P554" s="3" t="s">
        <v>114</v>
      </c>
      <c r="Q554" s="3" t="s">
        <v>1482</v>
      </c>
      <c r="R554" s="3" t="s">
        <v>915</v>
      </c>
      <c r="S554" s="3" t="s">
        <v>1434</v>
      </c>
      <c r="T554" s="3" t="s">
        <v>915</v>
      </c>
      <c r="U554" s="3" t="s">
        <v>1438</v>
      </c>
      <c r="V554" s="4" t="s">
        <v>1439</v>
      </c>
    </row>
    <row r="555" spans="1:22" x14ac:dyDescent="0.2">
      <c r="A555" s="16" t="s">
        <v>643</v>
      </c>
      <c r="B555" s="16">
        <v>3684</v>
      </c>
      <c r="C555" s="15" t="s">
        <v>2</v>
      </c>
      <c r="D555" s="15" t="s">
        <v>1</v>
      </c>
      <c r="E555" s="15" t="s">
        <v>92</v>
      </c>
      <c r="F555" s="15" t="s">
        <v>96</v>
      </c>
      <c r="G555" s="15"/>
      <c r="H555" s="17" t="str" cm="1">
        <f t="array" ref="H555">Reverse2_6(O555)</f>
        <v>00-010101</v>
      </c>
      <c r="I555" s="18" cm="1">
        <f t="array" ref="I555">HEX2DEC(Reverse(P555))</f>
        <v>93631153</v>
      </c>
      <c r="J555" s="18" cm="1">
        <f t="array" ref="J555">IF(Q555&lt;&gt;0, HEX2DEC(Reverse(Q555))-$I555,"")</f>
        <v>247</v>
      </c>
      <c r="K555" s="18" cm="1">
        <f t="array" ref="K555">IF(R555&lt;&gt;0, HEX2DEC(Reverse(R555))-$I555,"")</f>
        <v>28</v>
      </c>
      <c r="L555" s="18" cm="1">
        <f t="array" ref="L555">IF(S555&lt;&gt;0, HEX2DEC(Reverse(S555))-$I555,"")</f>
        <v>242</v>
      </c>
      <c r="M555" s="18" cm="1">
        <f t="array" ref="M555">IF(T555&lt;&gt;0, HEX2DEC(Reverse(T555))-$I555,"")</f>
        <v>28</v>
      </c>
      <c r="O555" s="3">
        <v>1010100</v>
      </c>
      <c r="P555" s="3" t="s">
        <v>114</v>
      </c>
      <c r="Q555" s="3" t="s">
        <v>1483</v>
      </c>
      <c r="R555" s="3" t="s">
        <v>915</v>
      </c>
      <c r="S555" s="3" t="s">
        <v>1474</v>
      </c>
      <c r="T555" s="3" t="s">
        <v>915</v>
      </c>
      <c r="U555" s="3">
        <v>31313131</v>
      </c>
      <c r="V555" s="4" t="s">
        <v>1484</v>
      </c>
    </row>
    <row r="556" spans="1:22" x14ac:dyDescent="0.2">
      <c r="A556" s="16" t="s">
        <v>644</v>
      </c>
      <c r="B556" s="16">
        <v>3685</v>
      </c>
      <c r="C556" s="15" t="s">
        <v>2</v>
      </c>
      <c r="D556" s="15" t="s">
        <v>1</v>
      </c>
      <c r="E556" s="15" t="s">
        <v>92</v>
      </c>
      <c r="F556" s="15" t="s">
        <v>96</v>
      </c>
      <c r="G556" s="15"/>
      <c r="H556" s="17" t="str" cm="1">
        <f t="array" ref="H556">Reverse2_6(O556)</f>
        <v>00-010101</v>
      </c>
      <c r="I556" s="18" cm="1">
        <f t="array" ref="I556">HEX2DEC(Reverse(P556))</f>
        <v>93631153</v>
      </c>
      <c r="J556" s="18" cm="1">
        <f t="array" ref="J556">IF(Q556&lt;&gt;0, HEX2DEC(Reverse(Q556))-$I556,"")</f>
        <v>248</v>
      </c>
      <c r="K556" s="18" cm="1">
        <f t="array" ref="K556">IF(R556&lt;&gt;0, HEX2DEC(Reverse(R556))-$I556,"")</f>
        <v>28</v>
      </c>
      <c r="L556" s="18" cm="1">
        <f t="array" ref="L556">IF(S556&lt;&gt;0, HEX2DEC(Reverse(S556))-$I556,"")</f>
        <v>243</v>
      </c>
      <c r="M556" s="18" cm="1">
        <f t="array" ref="M556">IF(T556&lt;&gt;0, HEX2DEC(Reverse(T556))-$I556,"")</f>
        <v>28</v>
      </c>
      <c r="O556" s="3">
        <v>1010100</v>
      </c>
      <c r="P556" s="3" t="s">
        <v>114</v>
      </c>
      <c r="Q556" s="3" t="s">
        <v>1485</v>
      </c>
      <c r="R556" s="3" t="s">
        <v>915</v>
      </c>
      <c r="S556" s="3" t="s">
        <v>1477</v>
      </c>
      <c r="T556" s="3" t="s">
        <v>915</v>
      </c>
      <c r="U556" s="3" t="s">
        <v>1486</v>
      </c>
      <c r="V556" s="4" t="s">
        <v>1487</v>
      </c>
    </row>
    <row r="557" spans="1:22" x14ac:dyDescent="0.2">
      <c r="A557" s="16" t="s">
        <v>645</v>
      </c>
      <c r="B557" s="16">
        <v>3686</v>
      </c>
      <c r="C557" s="15" t="s">
        <v>2</v>
      </c>
      <c r="D557" s="15" t="s">
        <v>1</v>
      </c>
      <c r="E557" s="15" t="s">
        <v>92</v>
      </c>
      <c r="F557" s="15" t="s">
        <v>96</v>
      </c>
      <c r="G557" s="15"/>
      <c r="H557" s="17" t="str" cm="1">
        <f t="array" ref="H557">Reverse2_6(O557)</f>
        <v>00-010101</v>
      </c>
      <c r="I557" s="18" cm="1">
        <f t="array" ref="I557">HEX2DEC(Reverse(P557))</f>
        <v>93631153</v>
      </c>
      <c r="J557" s="18" cm="1">
        <f t="array" ref="J557">IF(Q557&lt;&gt;0, HEX2DEC(Reverse(Q557))-$I557,"")</f>
        <v>249</v>
      </c>
      <c r="K557" s="18" cm="1">
        <f t="array" ref="K557">IF(R557&lt;&gt;0, HEX2DEC(Reverse(R557))-$I557,"")</f>
        <v>28</v>
      </c>
      <c r="L557" s="18" cm="1">
        <f t="array" ref="L557">IF(S557&lt;&gt;0, HEX2DEC(Reverse(S557))-$I557,"")</f>
        <v>244</v>
      </c>
      <c r="M557" s="18" cm="1">
        <f t="array" ref="M557">IF(T557&lt;&gt;0, HEX2DEC(Reverse(T557))-$I557,"")</f>
        <v>28</v>
      </c>
      <c r="O557" s="3">
        <v>1010100</v>
      </c>
      <c r="P557" s="3" t="s">
        <v>114</v>
      </c>
      <c r="Q557" s="3" t="s">
        <v>1488</v>
      </c>
      <c r="R557" s="3" t="s">
        <v>915</v>
      </c>
      <c r="S557" s="3" t="s">
        <v>1480</v>
      </c>
      <c r="T557" s="3" t="s">
        <v>915</v>
      </c>
      <c r="U557" s="3" t="s">
        <v>1489</v>
      </c>
      <c r="V557" s="4" t="s">
        <v>1490</v>
      </c>
    </row>
    <row r="558" spans="1:22" x14ac:dyDescent="0.2">
      <c r="A558" s="16" t="s">
        <v>646</v>
      </c>
      <c r="B558" s="16">
        <v>3687</v>
      </c>
      <c r="C558" s="15" t="s">
        <v>2</v>
      </c>
      <c r="D558" s="15" t="s">
        <v>1</v>
      </c>
      <c r="E558" s="15" t="s">
        <v>92</v>
      </c>
      <c r="F558" s="15" t="s">
        <v>893</v>
      </c>
      <c r="G558" s="15"/>
      <c r="H558" s="17" t="str" cm="1">
        <f t="array" ref="H558">Reverse2_6(O558)</f>
        <v>00-010101</v>
      </c>
      <c r="I558" s="18" cm="1">
        <f t="array" ref="I558">HEX2DEC(Reverse(P558))</f>
        <v>93631153</v>
      </c>
      <c r="J558" s="18" cm="1">
        <f t="array" ref="J558">IF(Q558&lt;&gt;0, HEX2DEC(Reverse(Q558))-$I558,"")</f>
        <v>250</v>
      </c>
      <c r="K558" s="18" cm="1">
        <f t="array" ref="K558">IF(R558&lt;&gt;0, HEX2DEC(Reverse(R558))-$I558,"")</f>
        <v>28</v>
      </c>
      <c r="L558" s="18" cm="1">
        <f t="array" ref="L558">IF(S558&lt;&gt;0, HEX2DEC(Reverse(S558))-$I558,"")</f>
        <v>245</v>
      </c>
      <c r="M558" s="18" cm="1">
        <f t="array" ref="M558">IF(T558&lt;&gt;0, HEX2DEC(Reverse(T558))-$I558,"")</f>
        <v>28</v>
      </c>
      <c r="O558" s="3">
        <v>1010100</v>
      </c>
      <c r="P558" s="3" t="s">
        <v>114</v>
      </c>
      <c r="Q558" s="3" t="s">
        <v>1491</v>
      </c>
      <c r="R558" s="3" t="s">
        <v>915</v>
      </c>
      <c r="S558" s="3" t="s">
        <v>1481</v>
      </c>
      <c r="T558" s="3" t="s">
        <v>915</v>
      </c>
      <c r="U558" s="3" t="s">
        <v>1492</v>
      </c>
      <c r="V558" s="4" t="s">
        <v>1493</v>
      </c>
    </row>
    <row r="559" spans="1:22" x14ac:dyDescent="0.2">
      <c r="A559" s="20" t="s">
        <v>647</v>
      </c>
      <c r="B559" s="20">
        <v>3688</v>
      </c>
      <c r="C559" s="21" t="s">
        <v>1</v>
      </c>
      <c r="D559" s="21" t="s">
        <v>2</v>
      </c>
      <c r="E559" s="21" t="s">
        <v>90</v>
      </c>
      <c r="F559" s="21" t="s">
        <v>94</v>
      </c>
      <c r="G559" s="21" t="s">
        <v>1778</v>
      </c>
      <c r="H559" s="22" t="str" cm="1">
        <f t="array" ref="H559">Reverse2_6(O559)</f>
        <v>00-010201</v>
      </c>
      <c r="I559" s="45" cm="1">
        <f t="array" ref="I559">HEX2DEC(Reverse(P559))</f>
        <v>93631153</v>
      </c>
      <c r="J559" s="45" cm="1">
        <f t="array" ref="J559">IF(Q559&lt;&gt;0, HEX2DEC(Reverse(Q559))-$I559,"")</f>
        <v>28</v>
      </c>
      <c r="K559" s="45" cm="1">
        <f t="array" ref="K559">IF(R559&lt;&gt;0, HEX2DEC(Reverse(R559))-$I559,"")</f>
        <v>245</v>
      </c>
      <c r="L559" s="45" t="str" cm="1">
        <f t="array" ref="L559">IF(S559&lt;&gt;0, HEX2DEC(Reverse(S559))-$I559,"")</f>
        <v/>
      </c>
      <c r="M559" s="45" cm="1">
        <f t="array" ref="M559">IF(T559&lt;&gt;0, HEX2DEC(Reverse(T559))-$I559,"")</f>
        <v>241</v>
      </c>
      <c r="O559" s="3">
        <v>1020100</v>
      </c>
      <c r="P559" s="3" t="s">
        <v>114</v>
      </c>
      <c r="Q559" s="3" t="s">
        <v>915</v>
      </c>
      <c r="R559" s="3" t="s">
        <v>1481</v>
      </c>
      <c r="S559" s="3">
        <v>0</v>
      </c>
      <c r="T559" s="3" t="s">
        <v>1473</v>
      </c>
      <c r="U559" s="3"/>
      <c r="V559" s="4"/>
    </row>
    <row r="560" spans="1:22" x14ac:dyDescent="0.2">
      <c r="A560" s="20" t="s">
        <v>648</v>
      </c>
      <c r="B560" s="20">
        <v>3689</v>
      </c>
      <c r="C560" s="21" t="s">
        <v>1</v>
      </c>
      <c r="D560" s="21" t="s">
        <v>2</v>
      </c>
      <c r="E560" s="21" t="s">
        <v>90</v>
      </c>
      <c r="F560" s="21" t="s">
        <v>94</v>
      </c>
      <c r="G560" s="21" t="s">
        <v>1778</v>
      </c>
      <c r="H560" s="22" t="str" cm="1">
        <f t="array" ref="H560">Reverse2_6(O560)</f>
        <v>00-010201</v>
      </c>
      <c r="I560" s="45" cm="1">
        <f t="array" ref="I560">HEX2DEC(Reverse(P560))</f>
        <v>93631153</v>
      </c>
      <c r="J560" s="45" cm="1">
        <f t="array" ref="J560">IF(Q560&lt;&gt;0, HEX2DEC(Reverse(Q560))-$I560,"")</f>
        <v>28</v>
      </c>
      <c r="K560" s="45" cm="1">
        <f t="array" ref="K560">IF(R560&lt;&gt;0, HEX2DEC(Reverse(R560))-$I560,"")</f>
        <v>246</v>
      </c>
      <c r="L560" s="45" t="str" cm="1">
        <f t="array" ref="L560">IF(S560&lt;&gt;0, HEX2DEC(Reverse(S560))-$I560,"")</f>
        <v/>
      </c>
      <c r="M560" s="45" cm="1">
        <f t="array" ref="M560">IF(T560&lt;&gt;0, HEX2DEC(Reverse(T560))-$I560,"")</f>
        <v>241</v>
      </c>
      <c r="O560" s="3">
        <v>1020100</v>
      </c>
      <c r="P560" s="3" t="s">
        <v>114</v>
      </c>
      <c r="Q560" s="3" t="s">
        <v>915</v>
      </c>
      <c r="R560" s="3" t="s">
        <v>1482</v>
      </c>
      <c r="S560" s="3">
        <v>0</v>
      </c>
      <c r="T560" s="3" t="s">
        <v>1473</v>
      </c>
      <c r="U560" s="3"/>
      <c r="V560" s="4"/>
    </row>
    <row r="561" spans="1:22" x14ac:dyDescent="0.2">
      <c r="A561" s="20" t="s">
        <v>649</v>
      </c>
      <c r="B561" s="20">
        <v>3690</v>
      </c>
      <c r="C561" s="21" t="s">
        <v>1</v>
      </c>
      <c r="D561" s="21" t="s">
        <v>2</v>
      </c>
      <c r="E561" s="21" t="s">
        <v>90</v>
      </c>
      <c r="F561" s="21" t="s">
        <v>94</v>
      </c>
      <c r="G561" s="21" t="s">
        <v>1778</v>
      </c>
      <c r="H561" s="22" t="str" cm="1">
        <f t="array" ref="H561">Reverse2_6(O561)</f>
        <v>00-010201</v>
      </c>
      <c r="I561" s="45" cm="1">
        <f t="array" ref="I561">HEX2DEC(Reverse(P561))</f>
        <v>93631153</v>
      </c>
      <c r="J561" s="45" cm="1">
        <f t="array" ref="J561">IF(Q561&lt;&gt;0, HEX2DEC(Reverse(Q561))-$I561,"")</f>
        <v>28</v>
      </c>
      <c r="K561" s="45" cm="1">
        <f t="array" ref="K561">IF(R561&lt;&gt;0, HEX2DEC(Reverse(R561))-$I561,"")</f>
        <v>247</v>
      </c>
      <c r="L561" s="45" t="str" cm="1">
        <f t="array" ref="L561">IF(S561&lt;&gt;0, HEX2DEC(Reverse(S561))-$I561,"")</f>
        <v/>
      </c>
      <c r="M561" s="45" cm="1">
        <f t="array" ref="M561">IF(T561&lt;&gt;0, HEX2DEC(Reverse(T561))-$I561,"")</f>
        <v>242</v>
      </c>
      <c r="O561" s="3">
        <v>1020100</v>
      </c>
      <c r="P561" s="3" t="s">
        <v>114</v>
      </c>
      <c r="Q561" s="3" t="s">
        <v>915</v>
      </c>
      <c r="R561" s="3" t="s">
        <v>1483</v>
      </c>
      <c r="S561" s="3">
        <v>0</v>
      </c>
      <c r="T561" s="3" t="s">
        <v>1474</v>
      </c>
      <c r="U561" s="3"/>
      <c r="V561" s="4"/>
    </row>
    <row r="562" spans="1:22" x14ac:dyDescent="0.2">
      <c r="A562" s="20" t="s">
        <v>650</v>
      </c>
      <c r="B562" s="20">
        <v>3691</v>
      </c>
      <c r="C562" s="21" t="s">
        <v>1</v>
      </c>
      <c r="D562" s="21" t="s">
        <v>2</v>
      </c>
      <c r="E562" s="21" t="s">
        <v>90</v>
      </c>
      <c r="F562" s="21" t="s">
        <v>94</v>
      </c>
      <c r="G562" s="21" t="s">
        <v>1778</v>
      </c>
      <c r="H562" s="22" t="str" cm="1">
        <f t="array" ref="H562">Reverse2_6(O562)</f>
        <v>00-010201</v>
      </c>
      <c r="I562" s="45" cm="1">
        <f t="array" ref="I562">HEX2DEC(Reverse(P562))</f>
        <v>93631153</v>
      </c>
      <c r="J562" s="45" cm="1">
        <f t="array" ref="J562">IF(Q562&lt;&gt;0, HEX2DEC(Reverse(Q562))-$I562,"")</f>
        <v>28</v>
      </c>
      <c r="K562" s="45" cm="1">
        <f t="array" ref="K562">IF(R562&lt;&gt;0, HEX2DEC(Reverse(R562))-$I562,"")</f>
        <v>248</v>
      </c>
      <c r="L562" s="45" t="str" cm="1">
        <f t="array" ref="L562">IF(S562&lt;&gt;0, HEX2DEC(Reverse(S562))-$I562,"")</f>
        <v/>
      </c>
      <c r="M562" s="45" cm="1">
        <f t="array" ref="M562">IF(T562&lt;&gt;0, HEX2DEC(Reverse(T562))-$I562,"")</f>
        <v>243</v>
      </c>
      <c r="O562" s="3">
        <v>1020100</v>
      </c>
      <c r="P562" s="3" t="s">
        <v>114</v>
      </c>
      <c r="Q562" s="3" t="s">
        <v>915</v>
      </c>
      <c r="R562" s="3" t="s">
        <v>1485</v>
      </c>
      <c r="S562" s="3">
        <v>0</v>
      </c>
      <c r="T562" s="3" t="s">
        <v>1477</v>
      </c>
      <c r="U562" s="3"/>
      <c r="V562" s="4"/>
    </row>
    <row r="563" spans="1:22" x14ac:dyDescent="0.2">
      <c r="A563" s="20" t="s">
        <v>651</v>
      </c>
      <c r="B563" s="20">
        <v>3692</v>
      </c>
      <c r="C563" s="21" t="s">
        <v>1</v>
      </c>
      <c r="D563" s="21" t="s">
        <v>2</v>
      </c>
      <c r="E563" s="21" t="s">
        <v>90</v>
      </c>
      <c r="F563" s="21" t="s">
        <v>94</v>
      </c>
      <c r="G563" s="21" t="s">
        <v>1778</v>
      </c>
      <c r="H563" s="22" t="str" cm="1">
        <f t="array" ref="H563">Reverse2_6(O563)</f>
        <v>00-010201</v>
      </c>
      <c r="I563" s="45" cm="1">
        <f t="array" ref="I563">HEX2DEC(Reverse(P563))</f>
        <v>93631153</v>
      </c>
      <c r="J563" s="45" cm="1">
        <f t="array" ref="J563">IF(Q563&lt;&gt;0, HEX2DEC(Reverse(Q563))-$I563,"")</f>
        <v>28</v>
      </c>
      <c r="K563" s="45" cm="1">
        <f t="array" ref="K563">IF(R563&lt;&gt;0, HEX2DEC(Reverse(R563))-$I563,"")</f>
        <v>249</v>
      </c>
      <c r="L563" s="45" t="str" cm="1">
        <f t="array" ref="L563">IF(S563&lt;&gt;0, HEX2DEC(Reverse(S563))-$I563,"")</f>
        <v/>
      </c>
      <c r="M563" s="45" cm="1">
        <f t="array" ref="M563">IF(T563&lt;&gt;0, HEX2DEC(Reverse(T563))-$I563,"")</f>
        <v>244</v>
      </c>
      <c r="O563" s="3">
        <v>1020100</v>
      </c>
      <c r="P563" s="3" t="s">
        <v>114</v>
      </c>
      <c r="Q563" s="3" t="s">
        <v>915</v>
      </c>
      <c r="R563" s="3" t="s">
        <v>1488</v>
      </c>
      <c r="S563" s="3">
        <v>0</v>
      </c>
      <c r="T563" s="3" t="s">
        <v>1480</v>
      </c>
      <c r="U563" s="3"/>
      <c r="V563" s="4"/>
    </row>
    <row r="564" spans="1:22" x14ac:dyDescent="0.2">
      <c r="A564" s="20" t="s">
        <v>652</v>
      </c>
      <c r="B564" s="20">
        <v>3693</v>
      </c>
      <c r="C564" s="21" t="s">
        <v>1</v>
      </c>
      <c r="D564" s="21" t="s">
        <v>2</v>
      </c>
      <c r="E564" s="21" t="s">
        <v>90</v>
      </c>
      <c r="F564" s="21" t="s">
        <v>94</v>
      </c>
      <c r="G564" s="21" t="s">
        <v>1778</v>
      </c>
      <c r="H564" s="22" t="str" cm="1">
        <f t="array" ref="H564">Reverse2_6(O564)</f>
        <v>00-010201</v>
      </c>
      <c r="I564" s="45" cm="1">
        <f t="array" ref="I564">HEX2DEC(Reverse(P564))</f>
        <v>93631153</v>
      </c>
      <c r="J564" s="45" cm="1">
        <f t="array" ref="J564">IF(Q564&lt;&gt;0, HEX2DEC(Reverse(Q564))-$I564,"")</f>
        <v>28</v>
      </c>
      <c r="K564" s="45" cm="1">
        <f t="array" ref="K564">IF(R564&lt;&gt;0, HEX2DEC(Reverse(R564))-$I564,"")</f>
        <v>250</v>
      </c>
      <c r="L564" s="45" t="str" cm="1">
        <f t="array" ref="L564">IF(S564&lt;&gt;0, HEX2DEC(Reverse(S564))-$I564,"")</f>
        <v/>
      </c>
      <c r="M564" s="45" cm="1">
        <f t="array" ref="M564">IF(T564&lt;&gt;0, HEX2DEC(Reverse(T564))-$I564,"")</f>
        <v>245</v>
      </c>
      <c r="O564" s="3">
        <v>1020100</v>
      </c>
      <c r="P564" s="3" t="s">
        <v>114</v>
      </c>
      <c r="Q564" s="3" t="s">
        <v>915</v>
      </c>
      <c r="R564" s="3" t="s">
        <v>1491</v>
      </c>
      <c r="S564" s="3">
        <v>0</v>
      </c>
      <c r="T564" s="3" t="s">
        <v>1481</v>
      </c>
      <c r="U564" s="3"/>
      <c r="V564" s="4"/>
    </row>
    <row r="565" spans="1:22" x14ac:dyDescent="0.2">
      <c r="A565" s="16" t="s">
        <v>653</v>
      </c>
      <c r="B565" s="16">
        <v>3698</v>
      </c>
      <c r="C565" s="15" t="s">
        <v>2</v>
      </c>
      <c r="D565" s="15" t="s">
        <v>1</v>
      </c>
      <c r="E565" s="15" t="s">
        <v>92</v>
      </c>
      <c r="F565" s="15" t="s">
        <v>96</v>
      </c>
      <c r="G565" s="15"/>
      <c r="H565" s="17" t="str" cm="1">
        <f t="array" ref="H565">Reverse2_6(O565)</f>
        <v>00-010101</v>
      </c>
      <c r="I565" s="18" cm="1">
        <f t="array" ref="I565">HEX2DEC(Reverse(P565))</f>
        <v>93631153</v>
      </c>
      <c r="J565" s="18" cm="1">
        <f t="array" ref="J565">IF(Q565&lt;&gt;0, HEX2DEC(Reverse(Q565))-$I565,"")</f>
        <v>251</v>
      </c>
      <c r="K565" s="18" cm="1">
        <f t="array" ref="K565">IF(R565&lt;&gt;0, HEX2DEC(Reverse(R565))-$I565,"")</f>
        <v>28</v>
      </c>
      <c r="L565" s="18" cm="1">
        <f t="array" ref="L565">IF(S565&lt;&gt;0, HEX2DEC(Reverse(S565))-$I565,"")</f>
        <v>246</v>
      </c>
      <c r="M565" s="18" cm="1">
        <f t="array" ref="M565">IF(T565&lt;&gt;0, HEX2DEC(Reverse(T565))-$I565,"")</f>
        <v>28</v>
      </c>
      <c r="O565" s="3">
        <v>1010100</v>
      </c>
      <c r="P565" s="3" t="s">
        <v>114</v>
      </c>
      <c r="Q565" s="3" t="s">
        <v>1494</v>
      </c>
      <c r="R565" s="3" t="s">
        <v>915</v>
      </c>
      <c r="S565" s="3" t="s">
        <v>1482</v>
      </c>
      <c r="T565" s="3" t="s">
        <v>915</v>
      </c>
      <c r="U565" s="3">
        <v>31313131</v>
      </c>
      <c r="V565" s="4" t="s">
        <v>1495</v>
      </c>
    </row>
    <row r="566" spans="1:22" x14ac:dyDescent="0.2">
      <c r="A566" s="16" t="s">
        <v>654</v>
      </c>
      <c r="B566" s="16">
        <v>3699</v>
      </c>
      <c r="C566" s="15" t="s">
        <v>2</v>
      </c>
      <c r="D566" s="15" t="s">
        <v>1</v>
      </c>
      <c r="E566" s="15" t="s">
        <v>92</v>
      </c>
      <c r="F566" s="15" t="s">
        <v>848</v>
      </c>
      <c r="G566" s="15"/>
      <c r="H566" s="17" t="str" cm="1">
        <f t="array" ref="H566">Reverse2_6(O566)</f>
        <v>00-010101</v>
      </c>
      <c r="I566" s="18" cm="1">
        <f t="array" ref="I566">HEX2DEC(Reverse(P566))</f>
        <v>93631153</v>
      </c>
      <c r="J566" s="18" cm="1">
        <f t="array" ref="J566">IF(Q566&lt;&gt;0, HEX2DEC(Reverse(Q566))-$I566,"")</f>
        <v>252</v>
      </c>
      <c r="K566" s="18" cm="1">
        <f t="array" ref="K566">IF(R566&lt;&gt;0, HEX2DEC(Reverse(R566))-$I566,"")</f>
        <v>28</v>
      </c>
      <c r="L566" s="18" cm="1">
        <f t="array" ref="L566">IF(S566&lt;&gt;0, HEX2DEC(Reverse(S566))-$I566,"")</f>
        <v>247</v>
      </c>
      <c r="M566" s="18" cm="1">
        <f t="array" ref="M566">IF(T566&lt;&gt;0, HEX2DEC(Reverse(T566))-$I566,"")</f>
        <v>28</v>
      </c>
      <c r="O566" s="3">
        <v>1010100</v>
      </c>
      <c r="P566" s="3" t="s">
        <v>114</v>
      </c>
      <c r="Q566" s="3" t="s">
        <v>1496</v>
      </c>
      <c r="R566" s="3" t="s">
        <v>915</v>
      </c>
      <c r="S566" s="3" t="s">
        <v>1483</v>
      </c>
      <c r="T566" s="3" t="s">
        <v>915</v>
      </c>
      <c r="U566" s="3" t="s">
        <v>1497</v>
      </c>
      <c r="V566" s="4" t="s">
        <v>1498</v>
      </c>
    </row>
    <row r="567" spans="1:22" x14ac:dyDescent="0.2">
      <c r="A567" s="20" t="s">
        <v>655</v>
      </c>
      <c r="B567" s="20">
        <v>3700</v>
      </c>
      <c r="C567" s="21" t="s">
        <v>1</v>
      </c>
      <c r="D567" s="21" t="s">
        <v>2</v>
      </c>
      <c r="E567" s="21" t="s">
        <v>90</v>
      </c>
      <c r="F567" s="21" t="s">
        <v>94</v>
      </c>
      <c r="G567" s="21" t="s">
        <v>1778</v>
      </c>
      <c r="H567" s="22" t="str" cm="1">
        <f t="array" ref="H567">Reverse2_6(O567)</f>
        <v>00-010201</v>
      </c>
      <c r="I567" s="45" cm="1">
        <f t="array" ref="I567">HEX2DEC(Reverse(P567))</f>
        <v>93631153</v>
      </c>
      <c r="J567" s="45" cm="1">
        <f t="array" ref="J567">IF(Q567&lt;&gt;0, HEX2DEC(Reverse(Q567))-$I567,"")</f>
        <v>28</v>
      </c>
      <c r="K567" s="45" cm="1">
        <f t="array" ref="K567">IF(R567&lt;&gt;0, HEX2DEC(Reverse(R567))-$I567,"")</f>
        <v>251</v>
      </c>
      <c r="L567" s="45" t="str" cm="1">
        <f t="array" ref="L567">IF(S567&lt;&gt;0, HEX2DEC(Reverse(S567))-$I567,"")</f>
        <v/>
      </c>
      <c r="M567" s="45" cm="1">
        <f t="array" ref="M567">IF(T567&lt;&gt;0, HEX2DEC(Reverse(T567))-$I567,"")</f>
        <v>246</v>
      </c>
      <c r="O567" s="3">
        <v>1020100</v>
      </c>
      <c r="P567" s="3" t="s">
        <v>114</v>
      </c>
      <c r="Q567" s="3" t="s">
        <v>915</v>
      </c>
      <c r="R567" s="3" t="s">
        <v>1494</v>
      </c>
      <c r="S567" s="3">
        <v>0</v>
      </c>
      <c r="T567" s="3" t="s">
        <v>1482</v>
      </c>
      <c r="U567" s="3"/>
      <c r="V567" s="4"/>
    </row>
    <row r="568" spans="1:22" x14ac:dyDescent="0.2">
      <c r="A568" s="20" t="s">
        <v>656</v>
      </c>
      <c r="B568" s="20">
        <v>3701</v>
      </c>
      <c r="C568" s="21" t="s">
        <v>1</v>
      </c>
      <c r="D568" s="21" t="s">
        <v>2</v>
      </c>
      <c r="E568" s="21" t="s">
        <v>90</v>
      </c>
      <c r="F568" s="21" t="s">
        <v>94</v>
      </c>
      <c r="G568" s="21" t="s">
        <v>1778</v>
      </c>
      <c r="H568" s="22" t="str" cm="1">
        <f t="array" ref="H568">Reverse2_6(O568)</f>
        <v>00-010201</v>
      </c>
      <c r="I568" s="45" cm="1">
        <f t="array" ref="I568">HEX2DEC(Reverse(P568))</f>
        <v>93631153</v>
      </c>
      <c r="J568" s="45" cm="1">
        <f t="array" ref="J568">IF(Q568&lt;&gt;0, HEX2DEC(Reverse(Q568))-$I568,"")</f>
        <v>28</v>
      </c>
      <c r="K568" s="45" cm="1">
        <f t="array" ref="K568">IF(R568&lt;&gt;0, HEX2DEC(Reverse(R568))-$I568,"")</f>
        <v>252</v>
      </c>
      <c r="L568" s="45" t="str" cm="1">
        <f t="array" ref="L568">IF(S568&lt;&gt;0, HEX2DEC(Reverse(S568))-$I568,"")</f>
        <v/>
      </c>
      <c r="M568" s="45" cm="1">
        <f t="array" ref="M568">IF(T568&lt;&gt;0, HEX2DEC(Reverse(T568))-$I568,"")</f>
        <v>247</v>
      </c>
      <c r="O568" s="3">
        <v>1020100</v>
      </c>
      <c r="P568" s="3" t="s">
        <v>114</v>
      </c>
      <c r="Q568" s="3" t="s">
        <v>915</v>
      </c>
      <c r="R568" s="3" t="s">
        <v>1496</v>
      </c>
      <c r="S568" s="3">
        <v>0</v>
      </c>
      <c r="T568" s="3" t="s">
        <v>1483</v>
      </c>
      <c r="U568" s="3"/>
      <c r="V568" s="4"/>
    </row>
    <row r="569" spans="1:22" x14ac:dyDescent="0.2">
      <c r="A569" s="16" t="s">
        <v>657</v>
      </c>
      <c r="B569" s="16">
        <v>3711</v>
      </c>
      <c r="C569" s="15" t="s">
        <v>2</v>
      </c>
      <c r="D569" s="15" t="s">
        <v>1</v>
      </c>
      <c r="E569" s="15" t="s">
        <v>92</v>
      </c>
      <c r="F569" s="15" t="s">
        <v>96</v>
      </c>
      <c r="G569" s="15"/>
      <c r="H569" s="17" t="str" cm="1">
        <f t="array" ref="H569">Reverse2_6(O569)</f>
        <v>00-010101</v>
      </c>
      <c r="I569" s="18" cm="1">
        <f t="array" ref="I569">HEX2DEC(Reverse(P569))</f>
        <v>93631153</v>
      </c>
      <c r="J569" s="18" cm="1">
        <f t="array" ref="J569">IF(Q569&lt;&gt;0, HEX2DEC(Reverse(Q569))-$I569,"")</f>
        <v>253</v>
      </c>
      <c r="K569" s="18" cm="1">
        <f t="array" ref="K569">IF(R569&lt;&gt;0, HEX2DEC(Reverse(R569))-$I569,"")</f>
        <v>28</v>
      </c>
      <c r="L569" s="18" cm="1">
        <f t="array" ref="L569">IF(S569&lt;&gt;0, HEX2DEC(Reverse(S569))-$I569,"")</f>
        <v>248</v>
      </c>
      <c r="M569" s="18" cm="1">
        <f t="array" ref="M569">IF(T569&lt;&gt;0, HEX2DEC(Reverse(T569))-$I569,"")</f>
        <v>28</v>
      </c>
      <c r="O569" s="3">
        <v>1010100</v>
      </c>
      <c r="P569" s="3" t="s">
        <v>114</v>
      </c>
      <c r="Q569" s="3" t="s">
        <v>1499</v>
      </c>
      <c r="R569" s="3" t="s">
        <v>915</v>
      </c>
      <c r="S569" s="3" t="s">
        <v>1485</v>
      </c>
      <c r="T569" s="3" t="s">
        <v>915</v>
      </c>
      <c r="U569" s="3">
        <v>31313131</v>
      </c>
      <c r="V569" s="4" t="s">
        <v>1500</v>
      </c>
    </row>
    <row r="570" spans="1:22" x14ac:dyDescent="0.2">
      <c r="A570" s="16" t="s">
        <v>658</v>
      </c>
      <c r="B570" s="16">
        <v>3712</v>
      </c>
      <c r="C570" s="15" t="s">
        <v>2</v>
      </c>
      <c r="D570" s="15" t="s">
        <v>1</v>
      </c>
      <c r="E570" s="15" t="s">
        <v>92</v>
      </c>
      <c r="F570" s="15" t="s">
        <v>96</v>
      </c>
      <c r="G570" s="15"/>
      <c r="H570" s="17" t="str" cm="1">
        <f t="array" ref="H570">Reverse2_6(O570)</f>
        <v>00-010101</v>
      </c>
      <c r="I570" s="18" cm="1">
        <f t="array" ref="I570">HEX2DEC(Reverse(P570))</f>
        <v>93631153</v>
      </c>
      <c r="J570" s="18" cm="1">
        <f t="array" ref="J570">IF(Q570&lt;&gt;0, HEX2DEC(Reverse(Q570))-$I570,"")</f>
        <v>254</v>
      </c>
      <c r="K570" s="18" cm="1">
        <f t="array" ref="K570">IF(R570&lt;&gt;0, HEX2DEC(Reverse(R570))-$I570,"")</f>
        <v>28</v>
      </c>
      <c r="L570" s="18" cm="1">
        <f t="array" ref="L570">IF(S570&lt;&gt;0, HEX2DEC(Reverse(S570))-$I570,"")</f>
        <v>249</v>
      </c>
      <c r="M570" s="18" cm="1">
        <f t="array" ref="M570">IF(T570&lt;&gt;0, HEX2DEC(Reverse(T570))-$I570,"")</f>
        <v>28</v>
      </c>
      <c r="O570" s="3">
        <v>1010100</v>
      </c>
      <c r="P570" s="3" t="s">
        <v>114</v>
      </c>
      <c r="Q570" s="3" t="s">
        <v>1501</v>
      </c>
      <c r="R570" s="3" t="s">
        <v>915</v>
      </c>
      <c r="S570" s="3" t="s">
        <v>1488</v>
      </c>
      <c r="T570" s="3" t="s">
        <v>915</v>
      </c>
      <c r="U570" s="3" t="s">
        <v>1502</v>
      </c>
      <c r="V570" s="4" t="s">
        <v>1503</v>
      </c>
    </row>
    <row r="571" spans="1:22" x14ac:dyDescent="0.2">
      <c r="A571" s="16" t="s">
        <v>659</v>
      </c>
      <c r="B571" s="16">
        <v>3713</v>
      </c>
      <c r="C571" s="15" t="s">
        <v>2</v>
      </c>
      <c r="D571" s="15" t="s">
        <v>1</v>
      </c>
      <c r="E571" s="15" t="s">
        <v>92</v>
      </c>
      <c r="F571" s="15" t="s">
        <v>96</v>
      </c>
      <c r="G571" s="15"/>
      <c r="H571" s="17" t="str" cm="1">
        <f t="array" ref="H571">Reverse2_6(O571)</f>
        <v>00-010101</v>
      </c>
      <c r="I571" s="18" cm="1">
        <f t="array" ref="I571">HEX2DEC(Reverse(P571))</f>
        <v>93631153</v>
      </c>
      <c r="J571" s="18" cm="1">
        <f t="array" ref="J571">IF(Q571&lt;&gt;0, HEX2DEC(Reverse(Q571))-$I571,"")</f>
        <v>255</v>
      </c>
      <c r="K571" s="18" cm="1">
        <f t="array" ref="K571">IF(R571&lt;&gt;0, HEX2DEC(Reverse(R571))-$I571,"")</f>
        <v>28</v>
      </c>
      <c r="L571" s="18" cm="1">
        <f t="array" ref="L571">IF(S571&lt;&gt;0, HEX2DEC(Reverse(S571))-$I571,"")</f>
        <v>250</v>
      </c>
      <c r="M571" s="18" cm="1">
        <f t="array" ref="M571">IF(T571&lt;&gt;0, HEX2DEC(Reverse(T571))-$I571,"")</f>
        <v>28</v>
      </c>
      <c r="O571" s="3">
        <v>1010100</v>
      </c>
      <c r="P571" s="3" t="s">
        <v>114</v>
      </c>
      <c r="Q571" s="3" t="s">
        <v>1504</v>
      </c>
      <c r="R571" s="3" t="s">
        <v>915</v>
      </c>
      <c r="S571" s="3" t="s">
        <v>1491</v>
      </c>
      <c r="T571" s="3" t="s">
        <v>915</v>
      </c>
      <c r="U571" s="3" t="s">
        <v>1505</v>
      </c>
      <c r="V571" s="4" t="s">
        <v>1506</v>
      </c>
    </row>
    <row r="572" spans="1:22" x14ac:dyDescent="0.2">
      <c r="A572" s="20" t="s">
        <v>660</v>
      </c>
      <c r="B572" s="20">
        <v>3714</v>
      </c>
      <c r="C572" s="21" t="s">
        <v>1</v>
      </c>
      <c r="D572" s="21" t="s">
        <v>2</v>
      </c>
      <c r="E572" s="21" t="s">
        <v>90</v>
      </c>
      <c r="F572" s="21" t="s">
        <v>94</v>
      </c>
      <c r="G572" s="21" t="s">
        <v>1778</v>
      </c>
      <c r="H572" s="22" t="str" cm="1">
        <f t="array" ref="H572">Reverse2_6(O572)</f>
        <v>00-010201</v>
      </c>
      <c r="I572" s="45" cm="1">
        <f t="array" ref="I572">HEX2DEC(Reverse(P572))</f>
        <v>93631153</v>
      </c>
      <c r="J572" s="45" cm="1">
        <f t="array" ref="J572">IF(Q572&lt;&gt;0, HEX2DEC(Reverse(Q572))-$I572,"")</f>
        <v>28</v>
      </c>
      <c r="K572" s="45" cm="1">
        <f t="array" ref="K572">IF(R572&lt;&gt;0, HEX2DEC(Reverse(R572))-$I572,"")</f>
        <v>253</v>
      </c>
      <c r="L572" s="45" t="str" cm="1">
        <f t="array" ref="L572">IF(S572&lt;&gt;0, HEX2DEC(Reverse(S572))-$I572,"")</f>
        <v/>
      </c>
      <c r="M572" s="45" cm="1">
        <f t="array" ref="M572">IF(T572&lt;&gt;0, HEX2DEC(Reverse(T572))-$I572,"")</f>
        <v>248</v>
      </c>
      <c r="O572" s="3">
        <v>1020100</v>
      </c>
      <c r="P572" s="3" t="s">
        <v>114</v>
      </c>
      <c r="Q572" s="3" t="s">
        <v>915</v>
      </c>
      <c r="R572" s="3" t="s">
        <v>1499</v>
      </c>
      <c r="S572" s="3">
        <v>0</v>
      </c>
      <c r="T572" s="3" t="s">
        <v>1485</v>
      </c>
      <c r="U572" s="3"/>
      <c r="V572" s="4"/>
    </row>
    <row r="573" spans="1:22" x14ac:dyDescent="0.2">
      <c r="A573" s="20" t="s">
        <v>661</v>
      </c>
      <c r="B573" s="20">
        <v>3715</v>
      </c>
      <c r="C573" s="21" t="s">
        <v>1</v>
      </c>
      <c r="D573" s="21" t="s">
        <v>2</v>
      </c>
      <c r="E573" s="21" t="s">
        <v>90</v>
      </c>
      <c r="F573" s="21" t="s">
        <v>94</v>
      </c>
      <c r="G573" s="21" t="s">
        <v>1778</v>
      </c>
      <c r="H573" s="22" t="str" cm="1">
        <f t="array" ref="H573">Reverse2_6(O573)</f>
        <v>00-010201</v>
      </c>
      <c r="I573" s="45" cm="1">
        <f t="array" ref="I573">HEX2DEC(Reverse(P573))</f>
        <v>93631153</v>
      </c>
      <c r="J573" s="45" cm="1">
        <f t="array" ref="J573">IF(Q573&lt;&gt;0, HEX2DEC(Reverse(Q573))-$I573,"")</f>
        <v>28</v>
      </c>
      <c r="K573" s="45" cm="1">
        <f t="array" ref="K573">IF(R573&lt;&gt;0, HEX2DEC(Reverse(R573))-$I573,"")</f>
        <v>254</v>
      </c>
      <c r="L573" s="45" t="str" cm="1">
        <f t="array" ref="L573">IF(S573&lt;&gt;0, HEX2DEC(Reverse(S573))-$I573,"")</f>
        <v/>
      </c>
      <c r="M573" s="45" cm="1">
        <f t="array" ref="M573">IF(T573&lt;&gt;0, HEX2DEC(Reverse(T573))-$I573,"")</f>
        <v>249</v>
      </c>
      <c r="O573" s="3">
        <v>1020100</v>
      </c>
      <c r="P573" s="3" t="s">
        <v>114</v>
      </c>
      <c r="Q573" s="3" t="s">
        <v>915</v>
      </c>
      <c r="R573" s="3" t="s">
        <v>1501</v>
      </c>
      <c r="S573" s="3">
        <v>0</v>
      </c>
      <c r="T573" s="3" t="s">
        <v>1488</v>
      </c>
      <c r="U573" s="3"/>
      <c r="V573" s="4"/>
    </row>
    <row r="574" spans="1:22" x14ac:dyDescent="0.2">
      <c r="A574" s="20" t="s">
        <v>662</v>
      </c>
      <c r="B574" s="20">
        <v>3716</v>
      </c>
      <c r="C574" s="21" t="s">
        <v>1</v>
      </c>
      <c r="D574" s="21" t="s">
        <v>2</v>
      </c>
      <c r="E574" s="21" t="s">
        <v>90</v>
      </c>
      <c r="F574" s="21" t="s">
        <v>94</v>
      </c>
      <c r="G574" s="21" t="s">
        <v>1778</v>
      </c>
      <c r="H574" s="22" t="str" cm="1">
        <f t="array" ref="H574">Reverse2_6(O574)</f>
        <v>00-010201</v>
      </c>
      <c r="I574" s="45" cm="1">
        <f t="array" ref="I574">HEX2DEC(Reverse(P574))</f>
        <v>93631153</v>
      </c>
      <c r="J574" s="45" cm="1">
        <f t="array" ref="J574">IF(Q574&lt;&gt;0, HEX2DEC(Reverse(Q574))-$I574,"")</f>
        <v>28</v>
      </c>
      <c r="K574" s="45" cm="1">
        <f t="array" ref="K574">IF(R574&lt;&gt;0, HEX2DEC(Reverse(R574))-$I574,"")</f>
        <v>255</v>
      </c>
      <c r="L574" s="45" t="str" cm="1">
        <f t="array" ref="L574">IF(S574&lt;&gt;0, HEX2DEC(Reverse(S574))-$I574,"")</f>
        <v/>
      </c>
      <c r="M574" s="45" cm="1">
        <f t="array" ref="M574">IF(T574&lt;&gt;0, HEX2DEC(Reverse(T574))-$I574,"")</f>
        <v>250</v>
      </c>
      <c r="O574" s="3">
        <v>1020100</v>
      </c>
      <c r="P574" s="3" t="s">
        <v>114</v>
      </c>
      <c r="Q574" s="3" t="s">
        <v>915</v>
      </c>
      <c r="R574" s="3" t="s">
        <v>1504</v>
      </c>
      <c r="S574" s="3">
        <v>0</v>
      </c>
      <c r="T574" s="3" t="s">
        <v>1491</v>
      </c>
      <c r="U574" s="3"/>
      <c r="V574" s="4"/>
    </row>
    <row r="575" spans="1:22" x14ac:dyDescent="0.2">
      <c r="A575" s="16" t="s">
        <v>663</v>
      </c>
      <c r="B575" s="16">
        <v>3717</v>
      </c>
      <c r="C575" s="15" t="s">
        <v>2</v>
      </c>
      <c r="D575" s="15" t="s">
        <v>1</v>
      </c>
      <c r="E575" s="15" t="s">
        <v>92</v>
      </c>
      <c r="F575" s="15" t="s">
        <v>96</v>
      </c>
      <c r="G575" s="15"/>
      <c r="H575" s="17" t="str" cm="1">
        <f t="array" ref="H575">Reverse2_6(O575)</f>
        <v>00-010101</v>
      </c>
      <c r="I575" s="18" cm="1">
        <f t="array" ref="I575">HEX2DEC(Reverse(P575))</f>
        <v>93631153</v>
      </c>
      <c r="J575" s="18" cm="1">
        <f t="array" ref="J575">IF(Q575&lt;&gt;0, HEX2DEC(Reverse(Q575))-$I575,"")</f>
        <v>256</v>
      </c>
      <c r="K575" s="18" cm="1">
        <f t="array" ref="K575">IF(R575&lt;&gt;0, HEX2DEC(Reverse(R575))-$I575,"")</f>
        <v>28</v>
      </c>
      <c r="L575" s="18" cm="1">
        <f t="array" ref="L575">IF(S575&lt;&gt;0, HEX2DEC(Reverse(S575))-$I575,"")</f>
        <v>251</v>
      </c>
      <c r="M575" s="18" cm="1">
        <f t="array" ref="M575">IF(T575&lt;&gt;0, HEX2DEC(Reverse(T575))-$I575,"")</f>
        <v>28</v>
      </c>
      <c r="O575" s="3">
        <v>1010100</v>
      </c>
      <c r="P575" s="3" t="s">
        <v>114</v>
      </c>
      <c r="Q575" s="3" t="s">
        <v>1507</v>
      </c>
      <c r="R575" s="3" t="s">
        <v>915</v>
      </c>
      <c r="S575" s="3" t="s">
        <v>1494</v>
      </c>
      <c r="T575" s="3" t="s">
        <v>915</v>
      </c>
      <c r="U575" s="3" t="s">
        <v>1508</v>
      </c>
      <c r="V575" s="4" t="s">
        <v>1509</v>
      </c>
    </row>
    <row r="576" spans="1:22" x14ac:dyDescent="0.2">
      <c r="A576" s="16" t="s">
        <v>664</v>
      </c>
      <c r="B576" s="16">
        <v>3718</v>
      </c>
      <c r="C576" s="15" t="s">
        <v>2</v>
      </c>
      <c r="D576" s="15" t="s">
        <v>1</v>
      </c>
      <c r="E576" s="15" t="s">
        <v>92</v>
      </c>
      <c r="F576" s="15" t="s">
        <v>96</v>
      </c>
      <c r="G576" s="15"/>
      <c r="H576" s="17" t="str" cm="1">
        <f t="array" ref="H576">Reverse2_6(O576)</f>
        <v>00-010101</v>
      </c>
      <c r="I576" s="18" cm="1">
        <f t="array" ref="I576">HEX2DEC(Reverse(P576))</f>
        <v>93631153</v>
      </c>
      <c r="J576" s="18" cm="1">
        <f t="array" ref="J576">IF(Q576&lt;&gt;0, HEX2DEC(Reverse(Q576))-$I576,"")</f>
        <v>257</v>
      </c>
      <c r="K576" s="18" cm="1">
        <f t="array" ref="K576">IF(R576&lt;&gt;0, HEX2DEC(Reverse(R576))-$I576,"")</f>
        <v>28</v>
      </c>
      <c r="L576" s="18" cm="1">
        <f t="array" ref="L576">IF(S576&lt;&gt;0, HEX2DEC(Reverse(S576))-$I576,"")</f>
        <v>252</v>
      </c>
      <c r="M576" s="18" cm="1">
        <f t="array" ref="M576">IF(T576&lt;&gt;0, HEX2DEC(Reverse(T576))-$I576,"")</f>
        <v>28</v>
      </c>
      <c r="O576" s="3">
        <v>1010100</v>
      </c>
      <c r="P576" s="3" t="s">
        <v>114</v>
      </c>
      <c r="Q576" s="3" t="s">
        <v>1510</v>
      </c>
      <c r="R576" s="3" t="s">
        <v>915</v>
      </c>
      <c r="S576" s="3" t="s">
        <v>1496</v>
      </c>
      <c r="T576" s="3" t="s">
        <v>915</v>
      </c>
      <c r="U576" s="3" t="s">
        <v>1511</v>
      </c>
      <c r="V576" s="4" t="s">
        <v>1512</v>
      </c>
    </row>
    <row r="577" spans="1:22" x14ac:dyDescent="0.2">
      <c r="A577" s="16" t="s">
        <v>665</v>
      </c>
      <c r="B577" s="16">
        <v>3719</v>
      </c>
      <c r="C577" s="15" t="s">
        <v>2</v>
      </c>
      <c r="D577" s="15" t="s">
        <v>1</v>
      </c>
      <c r="E577" s="15" t="s">
        <v>92</v>
      </c>
      <c r="F577" s="15" t="s">
        <v>894</v>
      </c>
      <c r="G577" s="15"/>
      <c r="H577" s="17" t="str" cm="1">
        <f t="array" ref="H577">Reverse2_6(O577)</f>
        <v>00-010101</v>
      </c>
      <c r="I577" s="18" cm="1">
        <f t="array" ref="I577">HEX2DEC(Reverse(P577))</f>
        <v>93631153</v>
      </c>
      <c r="J577" s="18" cm="1">
        <f t="array" ref="J577">IF(Q577&lt;&gt;0, HEX2DEC(Reverse(Q577))-$I577,"")</f>
        <v>258</v>
      </c>
      <c r="K577" s="18" cm="1">
        <f t="array" ref="K577">IF(R577&lt;&gt;0, HEX2DEC(Reverse(R577))-$I577,"")</f>
        <v>28</v>
      </c>
      <c r="L577" s="18" cm="1">
        <f t="array" ref="L577">IF(S577&lt;&gt;0, HEX2DEC(Reverse(S577))-$I577,"")</f>
        <v>253</v>
      </c>
      <c r="M577" s="18" cm="1">
        <f t="array" ref="M577">IF(T577&lt;&gt;0, HEX2DEC(Reverse(T577))-$I577,"")</f>
        <v>28</v>
      </c>
      <c r="O577" s="3">
        <v>1010100</v>
      </c>
      <c r="P577" s="3" t="s">
        <v>114</v>
      </c>
      <c r="Q577" s="3" t="s">
        <v>1513</v>
      </c>
      <c r="R577" s="3" t="s">
        <v>915</v>
      </c>
      <c r="S577" s="3" t="s">
        <v>1499</v>
      </c>
      <c r="T577" s="3" t="s">
        <v>915</v>
      </c>
      <c r="U577" s="3" t="s">
        <v>1514</v>
      </c>
      <c r="V577" s="4" t="s">
        <v>1515</v>
      </c>
    </row>
    <row r="578" spans="1:22" x14ac:dyDescent="0.2">
      <c r="A578" s="20" t="s">
        <v>666</v>
      </c>
      <c r="B578" s="20">
        <v>3720</v>
      </c>
      <c r="C578" s="21" t="s">
        <v>1</v>
      </c>
      <c r="D578" s="21" t="s">
        <v>2</v>
      </c>
      <c r="E578" s="21" t="s">
        <v>90</v>
      </c>
      <c r="F578" s="21" t="s">
        <v>94</v>
      </c>
      <c r="G578" s="21" t="s">
        <v>1778</v>
      </c>
      <c r="H578" s="22" t="str" cm="1">
        <f t="array" ref="H578">Reverse2_6(O578)</f>
        <v>00-010201</v>
      </c>
      <c r="I578" s="45" cm="1">
        <f t="array" ref="I578">HEX2DEC(Reverse(P578))</f>
        <v>93631153</v>
      </c>
      <c r="J578" s="45" cm="1">
        <f t="array" ref="J578">IF(Q578&lt;&gt;0, HEX2DEC(Reverse(Q578))-$I578,"")</f>
        <v>28</v>
      </c>
      <c r="K578" s="45" cm="1">
        <f t="array" ref="K578">IF(R578&lt;&gt;0, HEX2DEC(Reverse(R578))-$I578,"")</f>
        <v>256</v>
      </c>
      <c r="L578" s="45" t="str" cm="1">
        <f t="array" ref="L578">IF(S578&lt;&gt;0, HEX2DEC(Reverse(S578))-$I578,"")</f>
        <v/>
      </c>
      <c r="M578" s="45" cm="1">
        <f t="array" ref="M578">IF(T578&lt;&gt;0, HEX2DEC(Reverse(T578))-$I578,"")</f>
        <v>251</v>
      </c>
      <c r="O578" s="3">
        <v>1020100</v>
      </c>
      <c r="P578" s="3" t="s">
        <v>114</v>
      </c>
      <c r="Q578" s="3" t="s">
        <v>915</v>
      </c>
      <c r="R578" s="3" t="s">
        <v>1507</v>
      </c>
      <c r="S578" s="3">
        <v>0</v>
      </c>
      <c r="T578" s="3" t="s">
        <v>1494</v>
      </c>
      <c r="U578" s="3"/>
      <c r="V578" s="4"/>
    </row>
    <row r="579" spans="1:22" x14ac:dyDescent="0.2">
      <c r="A579" s="20" t="s">
        <v>667</v>
      </c>
      <c r="B579" s="20">
        <v>3721</v>
      </c>
      <c r="C579" s="21" t="s">
        <v>1</v>
      </c>
      <c r="D579" s="21" t="s">
        <v>2</v>
      </c>
      <c r="E579" s="21" t="s">
        <v>90</v>
      </c>
      <c r="F579" s="21" t="s">
        <v>94</v>
      </c>
      <c r="G579" s="21" t="s">
        <v>1778</v>
      </c>
      <c r="H579" s="22" t="str" cm="1">
        <f t="array" ref="H579">Reverse2_6(O579)</f>
        <v>00-010201</v>
      </c>
      <c r="I579" s="45" cm="1">
        <f t="array" ref="I579">HEX2DEC(Reverse(P579))</f>
        <v>93631153</v>
      </c>
      <c r="J579" s="45" cm="1">
        <f t="array" ref="J579">IF(Q579&lt;&gt;0, HEX2DEC(Reverse(Q579))-$I579,"")</f>
        <v>28</v>
      </c>
      <c r="K579" s="45" cm="1">
        <f t="array" ref="K579">IF(R579&lt;&gt;0, HEX2DEC(Reverse(R579))-$I579,"")</f>
        <v>257</v>
      </c>
      <c r="L579" s="45" t="str" cm="1">
        <f t="array" ref="L579">IF(S579&lt;&gt;0, HEX2DEC(Reverse(S579))-$I579,"")</f>
        <v/>
      </c>
      <c r="M579" s="45" cm="1">
        <f t="array" ref="M579">IF(T579&lt;&gt;0, HEX2DEC(Reverse(T579))-$I579,"")</f>
        <v>252</v>
      </c>
      <c r="O579" s="3">
        <v>1020100</v>
      </c>
      <c r="P579" s="3" t="s">
        <v>114</v>
      </c>
      <c r="Q579" s="3" t="s">
        <v>915</v>
      </c>
      <c r="R579" s="3" t="s">
        <v>1510</v>
      </c>
      <c r="S579" s="3">
        <v>0</v>
      </c>
      <c r="T579" s="3" t="s">
        <v>1496</v>
      </c>
      <c r="U579" s="3"/>
      <c r="V579" s="4"/>
    </row>
    <row r="580" spans="1:22" x14ac:dyDescent="0.2">
      <c r="A580" s="20" t="s">
        <v>668</v>
      </c>
      <c r="B580" s="20">
        <v>3722</v>
      </c>
      <c r="C580" s="21" t="s">
        <v>1</v>
      </c>
      <c r="D580" s="21" t="s">
        <v>2</v>
      </c>
      <c r="E580" s="21" t="s">
        <v>90</v>
      </c>
      <c r="F580" s="21" t="s">
        <v>94</v>
      </c>
      <c r="G580" s="21" t="s">
        <v>1778</v>
      </c>
      <c r="H580" s="22" t="str" cm="1">
        <f t="array" ref="H580">Reverse2_6(O580)</f>
        <v>00-010201</v>
      </c>
      <c r="I580" s="45" cm="1">
        <f t="array" ref="I580">HEX2DEC(Reverse(P580))</f>
        <v>93631153</v>
      </c>
      <c r="J580" s="45" cm="1">
        <f t="array" ref="J580">IF(Q580&lt;&gt;0, HEX2DEC(Reverse(Q580))-$I580,"")</f>
        <v>28</v>
      </c>
      <c r="K580" s="45" cm="1">
        <f t="array" ref="K580">IF(R580&lt;&gt;0, HEX2DEC(Reverse(R580))-$I580,"")</f>
        <v>258</v>
      </c>
      <c r="L580" s="45" t="str" cm="1">
        <f t="array" ref="L580">IF(S580&lt;&gt;0, HEX2DEC(Reverse(S580))-$I580,"")</f>
        <v/>
      </c>
      <c r="M580" s="45" cm="1">
        <f t="array" ref="M580">IF(T580&lt;&gt;0, HEX2DEC(Reverse(T580))-$I580,"")</f>
        <v>253</v>
      </c>
      <c r="O580" s="3">
        <v>1020100</v>
      </c>
      <c r="P580" s="3" t="s">
        <v>114</v>
      </c>
      <c r="Q580" s="3" t="s">
        <v>915</v>
      </c>
      <c r="R580" s="3" t="s">
        <v>1513</v>
      </c>
      <c r="S580" s="3">
        <v>0</v>
      </c>
      <c r="T580" s="3" t="s">
        <v>1499</v>
      </c>
      <c r="U580" s="3"/>
      <c r="V580" s="4"/>
    </row>
    <row r="581" spans="1:22" x14ac:dyDescent="0.2">
      <c r="A581" s="16" t="s">
        <v>669</v>
      </c>
      <c r="B581" s="16">
        <v>3741</v>
      </c>
      <c r="C581" s="15" t="s">
        <v>2</v>
      </c>
      <c r="D581" s="15" t="s">
        <v>1</v>
      </c>
      <c r="E581" s="15" t="s">
        <v>92</v>
      </c>
      <c r="F581" s="15" t="s">
        <v>895</v>
      </c>
      <c r="G581" s="15"/>
      <c r="H581" s="17" t="str" cm="1">
        <f t="array" ref="H581">Reverse2_6(O581)</f>
        <v>00-010101</v>
      </c>
      <c r="I581" s="18" cm="1">
        <f t="array" ref="I581">HEX2DEC(Reverse(P581))</f>
        <v>93631153</v>
      </c>
      <c r="J581" s="18" cm="1">
        <f t="array" ref="J581">IF(Q581&lt;&gt;0, HEX2DEC(Reverse(Q581))-$I581,"")</f>
        <v>259</v>
      </c>
      <c r="K581" s="18" cm="1">
        <f t="array" ref="K581">IF(R581&lt;&gt;0, HEX2DEC(Reverse(R581))-$I581,"")</f>
        <v>28</v>
      </c>
      <c r="L581" s="18" cm="1">
        <f t="array" ref="L581">IF(S581&lt;&gt;0, HEX2DEC(Reverse(S581))-$I581,"")</f>
        <v>254</v>
      </c>
      <c r="M581" s="18" cm="1">
        <f t="array" ref="M581">IF(T581&lt;&gt;0, HEX2DEC(Reverse(T581))-$I581,"")</f>
        <v>28</v>
      </c>
      <c r="O581" s="3">
        <v>1010100</v>
      </c>
      <c r="P581" s="3" t="s">
        <v>114</v>
      </c>
      <c r="Q581" s="3" t="s">
        <v>1516</v>
      </c>
      <c r="R581" s="3" t="s">
        <v>915</v>
      </c>
      <c r="S581" s="3" t="s">
        <v>1501</v>
      </c>
      <c r="T581" s="3" t="s">
        <v>915</v>
      </c>
      <c r="U581" s="3">
        <v>31313131</v>
      </c>
      <c r="V581" s="4" t="s">
        <v>1517</v>
      </c>
    </row>
    <row r="582" spans="1:22" x14ac:dyDescent="0.2">
      <c r="A582" s="20" t="s">
        <v>670</v>
      </c>
      <c r="B582" s="20">
        <v>3742</v>
      </c>
      <c r="C582" s="21" t="s">
        <v>1</v>
      </c>
      <c r="D582" s="21" t="s">
        <v>2</v>
      </c>
      <c r="E582" s="21" t="s">
        <v>90</v>
      </c>
      <c r="F582" s="21" t="s">
        <v>94</v>
      </c>
      <c r="G582" s="21" t="s">
        <v>1778</v>
      </c>
      <c r="H582" s="22" t="str" cm="1">
        <f t="array" ref="H582">Reverse2_6(O582)</f>
        <v>00-010201</v>
      </c>
      <c r="I582" s="45" cm="1">
        <f t="array" ref="I582">HEX2DEC(Reverse(P582))</f>
        <v>93631153</v>
      </c>
      <c r="J582" s="45" cm="1">
        <f t="array" ref="J582">IF(Q582&lt;&gt;0, HEX2DEC(Reverse(Q582))-$I582,"")</f>
        <v>28</v>
      </c>
      <c r="K582" s="45" cm="1">
        <f t="array" ref="K582">IF(R582&lt;&gt;0, HEX2DEC(Reverse(R582))-$I582,"")</f>
        <v>259</v>
      </c>
      <c r="L582" s="45" t="str" cm="1">
        <f t="array" ref="L582">IF(S582&lt;&gt;0, HEX2DEC(Reverse(S582))-$I582,"")</f>
        <v/>
      </c>
      <c r="M582" s="45" cm="1">
        <f t="array" ref="M582">IF(T582&lt;&gt;0, HEX2DEC(Reverse(T582))-$I582,"")</f>
        <v>254</v>
      </c>
      <c r="O582" s="3">
        <v>1020100</v>
      </c>
      <c r="P582" s="3" t="s">
        <v>114</v>
      </c>
      <c r="Q582" s="3" t="s">
        <v>915</v>
      </c>
      <c r="R582" s="3" t="s">
        <v>1516</v>
      </c>
      <c r="S582" s="3">
        <v>0</v>
      </c>
      <c r="T582" s="3" t="s">
        <v>1501</v>
      </c>
      <c r="U582" s="3"/>
      <c r="V582" s="4"/>
    </row>
    <row r="583" spans="1:22" x14ac:dyDescent="0.2">
      <c r="A583" s="16" t="s">
        <v>671</v>
      </c>
      <c r="B583" s="16">
        <v>3747</v>
      </c>
      <c r="C583" s="15" t="s">
        <v>2</v>
      </c>
      <c r="D583" s="15" t="s">
        <v>1</v>
      </c>
      <c r="E583" s="15" t="s">
        <v>92</v>
      </c>
      <c r="F583" s="15" t="s">
        <v>96</v>
      </c>
      <c r="G583" s="15"/>
      <c r="H583" s="17" t="str" cm="1">
        <f t="array" ref="H583">Reverse2_6(O583)</f>
        <v>00-010101</v>
      </c>
      <c r="I583" s="18" cm="1">
        <f t="array" ref="I583">HEX2DEC(Reverse(P583))</f>
        <v>93631153</v>
      </c>
      <c r="J583" s="18" cm="1">
        <f t="array" ref="J583">IF(Q583&lt;&gt;0, HEX2DEC(Reverse(Q583))-$I583,"")</f>
        <v>260</v>
      </c>
      <c r="K583" s="18" cm="1">
        <f t="array" ref="K583">IF(R583&lt;&gt;0, HEX2DEC(Reverse(R583))-$I583,"")</f>
        <v>28</v>
      </c>
      <c r="L583" s="18" cm="1">
        <f t="array" ref="L583">IF(S583&lt;&gt;0, HEX2DEC(Reverse(S583))-$I583,"")</f>
        <v>255</v>
      </c>
      <c r="M583" s="18" cm="1">
        <f t="array" ref="M583">IF(T583&lt;&gt;0, HEX2DEC(Reverse(T583))-$I583,"")</f>
        <v>28</v>
      </c>
      <c r="O583" s="3">
        <v>1010100</v>
      </c>
      <c r="P583" s="3" t="s">
        <v>114</v>
      </c>
      <c r="Q583" s="3" t="s">
        <v>1518</v>
      </c>
      <c r="R583" s="3" t="s">
        <v>915</v>
      </c>
      <c r="S583" s="3" t="s">
        <v>1504</v>
      </c>
      <c r="T583" s="3" t="s">
        <v>915</v>
      </c>
      <c r="U583" s="3">
        <v>31313131</v>
      </c>
      <c r="V583" s="4" t="s">
        <v>1419</v>
      </c>
    </row>
    <row r="584" spans="1:22" x14ac:dyDescent="0.2">
      <c r="A584" s="16" t="s">
        <v>672</v>
      </c>
      <c r="B584" s="16">
        <v>3748</v>
      </c>
      <c r="C584" s="15" t="s">
        <v>2</v>
      </c>
      <c r="D584" s="15" t="s">
        <v>1</v>
      </c>
      <c r="E584" s="15" t="s">
        <v>92</v>
      </c>
      <c r="F584" s="15" t="s">
        <v>96</v>
      </c>
      <c r="G584" s="15"/>
      <c r="H584" s="17" t="str" cm="1">
        <f t="array" ref="H584">Reverse2_6(O584)</f>
        <v>00-010101</v>
      </c>
      <c r="I584" s="18" cm="1">
        <f t="array" ref="I584">HEX2DEC(Reverse(P584))</f>
        <v>93631153</v>
      </c>
      <c r="J584" s="18" cm="1">
        <f t="array" ref="J584">IF(Q584&lt;&gt;0, HEX2DEC(Reverse(Q584))-$I584,"")</f>
        <v>261</v>
      </c>
      <c r="K584" s="18" cm="1">
        <f t="array" ref="K584">IF(R584&lt;&gt;0, HEX2DEC(Reverse(R584))-$I584,"")</f>
        <v>28</v>
      </c>
      <c r="L584" s="18" cm="1">
        <f t="array" ref="L584">IF(S584&lt;&gt;0, HEX2DEC(Reverse(S584))-$I584,"")</f>
        <v>256</v>
      </c>
      <c r="M584" s="18" cm="1">
        <f t="array" ref="M584">IF(T584&lt;&gt;0, HEX2DEC(Reverse(T584))-$I584,"")</f>
        <v>28</v>
      </c>
      <c r="O584" s="3">
        <v>1010100</v>
      </c>
      <c r="P584" s="3" t="s">
        <v>114</v>
      </c>
      <c r="Q584" s="3" t="s">
        <v>1519</v>
      </c>
      <c r="R584" s="3" t="s">
        <v>915</v>
      </c>
      <c r="S584" s="3" t="s">
        <v>1507</v>
      </c>
      <c r="T584" s="3" t="s">
        <v>915</v>
      </c>
      <c r="U584" s="3" t="s">
        <v>1421</v>
      </c>
      <c r="V584" s="4" t="s">
        <v>1422</v>
      </c>
    </row>
    <row r="585" spans="1:22" x14ac:dyDescent="0.2">
      <c r="A585" s="16" t="s">
        <v>673</v>
      </c>
      <c r="B585" s="16">
        <v>3749</v>
      </c>
      <c r="C585" s="15" t="s">
        <v>2</v>
      </c>
      <c r="D585" s="15" t="s">
        <v>1</v>
      </c>
      <c r="E585" s="15" t="s">
        <v>92</v>
      </c>
      <c r="F585" s="15" t="s">
        <v>896</v>
      </c>
      <c r="G585" s="15"/>
      <c r="H585" s="17" t="str" cm="1">
        <f t="array" ref="H585">Reverse2_6(O585)</f>
        <v>00-010101</v>
      </c>
      <c r="I585" s="18" cm="1">
        <f t="array" ref="I585">HEX2DEC(Reverse(P585))</f>
        <v>93631153</v>
      </c>
      <c r="J585" s="18" cm="1">
        <f t="array" ref="J585">IF(Q585&lt;&gt;0, HEX2DEC(Reverse(Q585))-$I585,"")</f>
        <v>262</v>
      </c>
      <c r="K585" s="18" cm="1">
        <f t="array" ref="K585">IF(R585&lt;&gt;0, HEX2DEC(Reverse(R585))-$I585,"")</f>
        <v>28</v>
      </c>
      <c r="L585" s="18" cm="1">
        <f t="array" ref="L585">IF(S585&lt;&gt;0, HEX2DEC(Reverse(S585))-$I585,"")</f>
        <v>257</v>
      </c>
      <c r="M585" s="18" cm="1">
        <f t="array" ref="M585">IF(T585&lt;&gt;0, HEX2DEC(Reverse(T585))-$I585,"")</f>
        <v>28</v>
      </c>
      <c r="O585" s="3">
        <v>1010100</v>
      </c>
      <c r="P585" s="3" t="s">
        <v>114</v>
      </c>
      <c r="Q585" s="3" t="s">
        <v>1520</v>
      </c>
      <c r="R585" s="3" t="s">
        <v>915</v>
      </c>
      <c r="S585" s="3" t="s">
        <v>1510</v>
      </c>
      <c r="T585" s="3" t="s">
        <v>915</v>
      </c>
      <c r="U585" s="3" t="s">
        <v>1521</v>
      </c>
      <c r="V585" s="4" t="s">
        <v>1522</v>
      </c>
    </row>
    <row r="586" spans="1:22" x14ac:dyDescent="0.2">
      <c r="A586" s="20" t="s">
        <v>674</v>
      </c>
      <c r="B586" s="20">
        <v>3750</v>
      </c>
      <c r="C586" s="21" t="s">
        <v>1</v>
      </c>
      <c r="D586" s="21" t="s">
        <v>2</v>
      </c>
      <c r="E586" s="21" t="s">
        <v>90</v>
      </c>
      <c r="F586" s="21" t="s">
        <v>94</v>
      </c>
      <c r="G586" s="21" t="s">
        <v>1778</v>
      </c>
      <c r="H586" s="22" t="str" cm="1">
        <f t="array" ref="H586">Reverse2_6(O586)</f>
        <v>00-010201</v>
      </c>
      <c r="I586" s="45" cm="1">
        <f t="array" ref="I586">HEX2DEC(Reverse(P586))</f>
        <v>93631153</v>
      </c>
      <c r="J586" s="45" cm="1">
        <f t="array" ref="J586">IF(Q586&lt;&gt;0, HEX2DEC(Reverse(Q586))-$I586,"")</f>
        <v>28</v>
      </c>
      <c r="K586" s="45" cm="1">
        <f t="array" ref="K586">IF(R586&lt;&gt;0, HEX2DEC(Reverse(R586))-$I586,"")</f>
        <v>260</v>
      </c>
      <c r="L586" s="45" t="str" cm="1">
        <f t="array" ref="L586">IF(S586&lt;&gt;0, HEX2DEC(Reverse(S586))-$I586,"")</f>
        <v/>
      </c>
      <c r="M586" s="45" cm="1">
        <f t="array" ref="M586">IF(T586&lt;&gt;0, HEX2DEC(Reverse(T586))-$I586,"")</f>
        <v>255</v>
      </c>
      <c r="O586" s="3">
        <v>1020100</v>
      </c>
      <c r="P586" s="3" t="s">
        <v>114</v>
      </c>
      <c r="Q586" s="3" t="s">
        <v>915</v>
      </c>
      <c r="R586" s="3" t="s">
        <v>1518</v>
      </c>
      <c r="S586" s="3">
        <v>0</v>
      </c>
      <c r="T586" s="3" t="s">
        <v>1504</v>
      </c>
      <c r="U586" s="3"/>
      <c r="V586" s="4"/>
    </row>
    <row r="587" spans="1:22" x14ac:dyDescent="0.2">
      <c r="A587" s="20" t="s">
        <v>675</v>
      </c>
      <c r="B587" s="20">
        <v>3751</v>
      </c>
      <c r="C587" s="21" t="s">
        <v>1</v>
      </c>
      <c r="D587" s="21" t="s">
        <v>2</v>
      </c>
      <c r="E587" s="21" t="s">
        <v>90</v>
      </c>
      <c r="F587" s="21" t="s">
        <v>94</v>
      </c>
      <c r="G587" s="21" t="s">
        <v>1778</v>
      </c>
      <c r="H587" s="22" t="str" cm="1">
        <f t="array" ref="H587">Reverse2_6(O587)</f>
        <v>00-010201</v>
      </c>
      <c r="I587" s="45" cm="1">
        <f t="array" ref="I587">HEX2DEC(Reverse(P587))</f>
        <v>93631153</v>
      </c>
      <c r="J587" s="45" cm="1">
        <f t="array" ref="J587">IF(Q587&lt;&gt;0, HEX2DEC(Reverse(Q587))-$I587,"")</f>
        <v>28</v>
      </c>
      <c r="K587" s="45" cm="1">
        <f t="array" ref="K587">IF(R587&lt;&gt;0, HEX2DEC(Reverse(R587))-$I587,"")</f>
        <v>261</v>
      </c>
      <c r="L587" s="45" t="str" cm="1">
        <f t="array" ref="L587">IF(S587&lt;&gt;0, HEX2DEC(Reverse(S587))-$I587,"")</f>
        <v/>
      </c>
      <c r="M587" s="45" cm="1">
        <f t="array" ref="M587">IF(T587&lt;&gt;0, HEX2DEC(Reverse(T587))-$I587,"")</f>
        <v>256</v>
      </c>
      <c r="O587" s="3">
        <v>1020100</v>
      </c>
      <c r="P587" s="3" t="s">
        <v>114</v>
      </c>
      <c r="Q587" s="3" t="s">
        <v>915</v>
      </c>
      <c r="R587" s="3" t="s">
        <v>1519</v>
      </c>
      <c r="S587" s="3">
        <v>0</v>
      </c>
      <c r="T587" s="3" t="s">
        <v>1507</v>
      </c>
      <c r="U587" s="3"/>
      <c r="V587" s="4"/>
    </row>
    <row r="588" spans="1:22" x14ac:dyDescent="0.2">
      <c r="A588" s="20" t="s">
        <v>676</v>
      </c>
      <c r="B588" s="20">
        <v>3752</v>
      </c>
      <c r="C588" s="21" t="s">
        <v>1</v>
      </c>
      <c r="D588" s="21" t="s">
        <v>2</v>
      </c>
      <c r="E588" s="21" t="s">
        <v>90</v>
      </c>
      <c r="F588" s="21" t="s">
        <v>94</v>
      </c>
      <c r="G588" s="21" t="s">
        <v>1778</v>
      </c>
      <c r="H588" s="22" t="str" cm="1">
        <f t="array" ref="H588">Reverse2_6(O588)</f>
        <v>00-010201</v>
      </c>
      <c r="I588" s="45" cm="1">
        <f t="array" ref="I588">HEX2DEC(Reverse(P588))</f>
        <v>93631153</v>
      </c>
      <c r="J588" s="45" cm="1">
        <f t="array" ref="J588">IF(Q588&lt;&gt;0, HEX2DEC(Reverse(Q588))-$I588,"")</f>
        <v>28</v>
      </c>
      <c r="K588" s="45" cm="1">
        <f t="array" ref="K588">IF(R588&lt;&gt;0, HEX2DEC(Reverse(R588))-$I588,"")</f>
        <v>262</v>
      </c>
      <c r="L588" s="45" t="str" cm="1">
        <f t="array" ref="L588">IF(S588&lt;&gt;0, HEX2DEC(Reverse(S588))-$I588,"")</f>
        <v/>
      </c>
      <c r="M588" s="45" cm="1">
        <f t="array" ref="M588">IF(T588&lt;&gt;0, HEX2DEC(Reverse(T588))-$I588,"")</f>
        <v>257</v>
      </c>
      <c r="O588" s="3">
        <v>1020100</v>
      </c>
      <c r="P588" s="3" t="s">
        <v>114</v>
      </c>
      <c r="Q588" s="3" t="s">
        <v>915</v>
      </c>
      <c r="R588" s="3" t="s">
        <v>1520</v>
      </c>
      <c r="S588" s="3">
        <v>0</v>
      </c>
      <c r="T588" s="3" t="s">
        <v>1510</v>
      </c>
      <c r="U588" s="3"/>
      <c r="V588" s="4"/>
    </row>
    <row r="589" spans="1:22" x14ac:dyDescent="0.2">
      <c r="A589" s="16" t="s">
        <v>677</v>
      </c>
      <c r="B589" s="16">
        <v>3757</v>
      </c>
      <c r="C589" s="15" t="s">
        <v>2</v>
      </c>
      <c r="D589" s="15" t="s">
        <v>1</v>
      </c>
      <c r="E589" s="15" t="s">
        <v>92</v>
      </c>
      <c r="F589" s="15" t="s">
        <v>96</v>
      </c>
      <c r="G589" s="15"/>
      <c r="H589" s="17" t="str" cm="1">
        <f t="array" ref="H589">Reverse2_6(O589)</f>
        <v>00-010101</v>
      </c>
      <c r="I589" s="18" cm="1">
        <f t="array" ref="I589">HEX2DEC(Reverse(P589))</f>
        <v>93631153</v>
      </c>
      <c r="J589" s="18" cm="1">
        <f t="array" ref="J589">IF(Q589&lt;&gt;0, HEX2DEC(Reverse(Q589))-$I589,"")</f>
        <v>263</v>
      </c>
      <c r="K589" s="18" cm="1">
        <f t="array" ref="K589">IF(R589&lt;&gt;0, HEX2DEC(Reverse(R589))-$I589,"")</f>
        <v>28</v>
      </c>
      <c r="L589" s="18" cm="1">
        <f t="array" ref="L589">IF(S589&lt;&gt;0, HEX2DEC(Reverse(S589))-$I589,"")</f>
        <v>258</v>
      </c>
      <c r="M589" s="18" cm="1">
        <f t="array" ref="M589">IF(T589&lt;&gt;0, HEX2DEC(Reverse(T589))-$I589,"")</f>
        <v>28</v>
      </c>
      <c r="O589" s="3">
        <v>1010100</v>
      </c>
      <c r="P589" s="3" t="s">
        <v>114</v>
      </c>
      <c r="Q589" s="3" t="s">
        <v>1523</v>
      </c>
      <c r="R589" s="3" t="s">
        <v>915</v>
      </c>
      <c r="S589" s="3" t="s">
        <v>1513</v>
      </c>
      <c r="T589" s="3" t="s">
        <v>915</v>
      </c>
      <c r="U589" s="3">
        <v>31313131</v>
      </c>
      <c r="V589" s="4" t="s">
        <v>1524</v>
      </c>
    </row>
    <row r="590" spans="1:22" x14ac:dyDescent="0.2">
      <c r="A590" s="16" t="s">
        <v>678</v>
      </c>
      <c r="B590" s="16">
        <v>3758</v>
      </c>
      <c r="C590" s="15" t="s">
        <v>2</v>
      </c>
      <c r="D590" s="15" t="s">
        <v>1</v>
      </c>
      <c r="E590" s="15" t="s">
        <v>92</v>
      </c>
      <c r="F590" s="15" t="s">
        <v>96</v>
      </c>
      <c r="G590" s="15"/>
      <c r="H590" s="17" t="str" cm="1">
        <f t="array" ref="H590">Reverse2_6(O590)</f>
        <v>00-010101</v>
      </c>
      <c r="I590" s="18" cm="1">
        <f t="array" ref="I590">HEX2DEC(Reverse(P590))</f>
        <v>93631153</v>
      </c>
      <c r="J590" s="18" cm="1">
        <f t="array" ref="J590">IF(Q590&lt;&gt;0, HEX2DEC(Reverse(Q590))-$I590,"")</f>
        <v>264</v>
      </c>
      <c r="K590" s="18" cm="1">
        <f t="array" ref="K590">IF(R590&lt;&gt;0, HEX2DEC(Reverse(R590))-$I590,"")</f>
        <v>28</v>
      </c>
      <c r="L590" s="18" cm="1">
        <f t="array" ref="L590">IF(S590&lt;&gt;0, HEX2DEC(Reverse(S590))-$I590,"")</f>
        <v>259</v>
      </c>
      <c r="M590" s="18" cm="1">
        <f t="array" ref="M590">IF(T590&lt;&gt;0, HEX2DEC(Reverse(T590))-$I590,"")</f>
        <v>28</v>
      </c>
      <c r="O590" s="3">
        <v>1010100</v>
      </c>
      <c r="P590" s="3" t="s">
        <v>114</v>
      </c>
      <c r="Q590" s="3" t="s">
        <v>1525</v>
      </c>
      <c r="R590" s="3" t="s">
        <v>915</v>
      </c>
      <c r="S590" s="3" t="s">
        <v>1516</v>
      </c>
      <c r="T590" s="3" t="s">
        <v>915</v>
      </c>
      <c r="U590" s="3" t="s">
        <v>1526</v>
      </c>
      <c r="V590" s="4" t="s">
        <v>1527</v>
      </c>
    </row>
    <row r="591" spans="1:22" x14ac:dyDescent="0.2">
      <c r="A591" s="16" t="s">
        <v>679</v>
      </c>
      <c r="B591" s="16">
        <v>3759</v>
      </c>
      <c r="C591" s="15" t="s">
        <v>2</v>
      </c>
      <c r="D591" s="15" t="s">
        <v>1</v>
      </c>
      <c r="E591" s="15" t="s">
        <v>92</v>
      </c>
      <c r="F591" s="15" t="s">
        <v>96</v>
      </c>
      <c r="G591" s="15"/>
      <c r="H591" s="17" t="str" cm="1">
        <f t="array" ref="H591">Reverse2_6(O591)</f>
        <v>00-010101</v>
      </c>
      <c r="I591" s="18" cm="1">
        <f t="array" ref="I591">HEX2DEC(Reverse(P591))</f>
        <v>93631153</v>
      </c>
      <c r="J591" s="18" cm="1">
        <f t="array" ref="J591">IF(Q591&lt;&gt;0, HEX2DEC(Reverse(Q591))-$I591,"")</f>
        <v>265</v>
      </c>
      <c r="K591" s="18" cm="1">
        <f t="array" ref="K591">IF(R591&lt;&gt;0, HEX2DEC(Reverse(R591))-$I591,"")</f>
        <v>28</v>
      </c>
      <c r="L591" s="18" cm="1">
        <f t="array" ref="L591">IF(S591&lt;&gt;0, HEX2DEC(Reverse(S591))-$I591,"")</f>
        <v>260</v>
      </c>
      <c r="M591" s="18" cm="1">
        <f t="array" ref="M591">IF(T591&lt;&gt;0, HEX2DEC(Reverse(T591))-$I591,"")</f>
        <v>28</v>
      </c>
      <c r="O591" s="3">
        <v>1010100</v>
      </c>
      <c r="P591" s="3" t="s">
        <v>114</v>
      </c>
      <c r="Q591" s="3" t="s">
        <v>1528</v>
      </c>
      <c r="R591" s="3" t="s">
        <v>915</v>
      </c>
      <c r="S591" s="3" t="s">
        <v>1518</v>
      </c>
      <c r="T591" s="3" t="s">
        <v>915</v>
      </c>
      <c r="U591" s="3" t="s">
        <v>1529</v>
      </c>
      <c r="V591" s="4" t="s">
        <v>1530</v>
      </c>
    </row>
    <row r="592" spans="1:22" x14ac:dyDescent="0.2">
      <c r="A592" s="16" t="s">
        <v>680</v>
      </c>
      <c r="B592" s="16">
        <v>3760</v>
      </c>
      <c r="C592" s="15" t="s">
        <v>2</v>
      </c>
      <c r="D592" s="15" t="s">
        <v>1</v>
      </c>
      <c r="E592" s="15" t="s">
        <v>92</v>
      </c>
      <c r="F592" s="15" t="s">
        <v>897</v>
      </c>
      <c r="G592" s="15"/>
      <c r="H592" s="17" t="str" cm="1">
        <f t="array" ref="H592">Reverse2_6(O592)</f>
        <v>00-010101</v>
      </c>
      <c r="I592" s="18" cm="1">
        <f t="array" ref="I592">HEX2DEC(Reverse(P592))</f>
        <v>93631153</v>
      </c>
      <c r="J592" s="18" cm="1">
        <f t="array" ref="J592">IF(Q592&lt;&gt;0, HEX2DEC(Reverse(Q592))-$I592,"")</f>
        <v>266</v>
      </c>
      <c r="K592" s="18" cm="1">
        <f t="array" ref="K592">IF(R592&lt;&gt;0, HEX2DEC(Reverse(R592))-$I592,"")</f>
        <v>28</v>
      </c>
      <c r="L592" s="18" cm="1">
        <f t="array" ref="L592">IF(S592&lt;&gt;0, HEX2DEC(Reverse(S592))-$I592,"")</f>
        <v>261</v>
      </c>
      <c r="M592" s="18" cm="1">
        <f t="array" ref="M592">IF(T592&lt;&gt;0, HEX2DEC(Reverse(T592))-$I592,"")</f>
        <v>28</v>
      </c>
      <c r="O592" s="3">
        <v>1010100</v>
      </c>
      <c r="P592" s="3" t="s">
        <v>114</v>
      </c>
      <c r="Q592" s="3" t="s">
        <v>1531</v>
      </c>
      <c r="R592" s="3" t="s">
        <v>915</v>
      </c>
      <c r="S592" s="3" t="s">
        <v>1519</v>
      </c>
      <c r="T592" s="3" t="s">
        <v>915</v>
      </c>
      <c r="U592" s="3" t="s">
        <v>1532</v>
      </c>
      <c r="V592" s="4" t="s">
        <v>1533</v>
      </c>
    </row>
    <row r="593" spans="1:22" x14ac:dyDescent="0.2">
      <c r="A593" s="20" t="s">
        <v>681</v>
      </c>
      <c r="B593" s="20">
        <v>3761</v>
      </c>
      <c r="C593" s="21" t="s">
        <v>1</v>
      </c>
      <c r="D593" s="21" t="s">
        <v>2</v>
      </c>
      <c r="E593" s="21" t="s">
        <v>90</v>
      </c>
      <c r="F593" s="21" t="s">
        <v>94</v>
      </c>
      <c r="G593" s="21" t="s">
        <v>1778</v>
      </c>
      <c r="H593" s="22" t="str" cm="1">
        <f t="array" ref="H593">Reverse2_6(O593)</f>
        <v>00-010201</v>
      </c>
      <c r="I593" s="45" cm="1">
        <f t="array" ref="I593">HEX2DEC(Reverse(P593))</f>
        <v>93631153</v>
      </c>
      <c r="J593" s="45" cm="1">
        <f t="array" ref="J593">IF(Q593&lt;&gt;0, HEX2DEC(Reverse(Q593))-$I593,"")</f>
        <v>28</v>
      </c>
      <c r="K593" s="45" cm="1">
        <f t="array" ref="K593">IF(R593&lt;&gt;0, HEX2DEC(Reverse(R593))-$I593,"")</f>
        <v>263</v>
      </c>
      <c r="L593" s="45" t="str" cm="1">
        <f t="array" ref="L593">IF(S593&lt;&gt;0, HEX2DEC(Reverse(S593))-$I593,"")</f>
        <v/>
      </c>
      <c r="M593" s="45" cm="1">
        <f t="array" ref="M593">IF(T593&lt;&gt;0, HEX2DEC(Reverse(T593))-$I593,"")</f>
        <v>258</v>
      </c>
      <c r="O593" s="3">
        <v>1020100</v>
      </c>
      <c r="P593" s="3" t="s">
        <v>114</v>
      </c>
      <c r="Q593" s="3" t="s">
        <v>915</v>
      </c>
      <c r="R593" s="3" t="s">
        <v>1523</v>
      </c>
      <c r="S593" s="3">
        <v>0</v>
      </c>
      <c r="T593" s="3" t="s">
        <v>1513</v>
      </c>
      <c r="U593" s="3"/>
      <c r="V593" s="4"/>
    </row>
    <row r="594" spans="1:22" x14ac:dyDescent="0.2">
      <c r="A594" s="20" t="s">
        <v>682</v>
      </c>
      <c r="B594" s="20">
        <v>3762</v>
      </c>
      <c r="C594" s="21" t="s">
        <v>1</v>
      </c>
      <c r="D594" s="21" t="s">
        <v>2</v>
      </c>
      <c r="E594" s="21" t="s">
        <v>90</v>
      </c>
      <c r="F594" s="21" t="s">
        <v>94</v>
      </c>
      <c r="G594" s="21" t="s">
        <v>1778</v>
      </c>
      <c r="H594" s="22" t="str" cm="1">
        <f t="array" ref="H594">Reverse2_6(O594)</f>
        <v>00-010201</v>
      </c>
      <c r="I594" s="45" cm="1">
        <f t="array" ref="I594">HEX2DEC(Reverse(P594))</f>
        <v>93631153</v>
      </c>
      <c r="J594" s="45" cm="1">
        <f t="array" ref="J594">IF(Q594&lt;&gt;0, HEX2DEC(Reverse(Q594))-$I594,"")</f>
        <v>28</v>
      </c>
      <c r="K594" s="45" cm="1">
        <f t="array" ref="K594">IF(R594&lt;&gt;0, HEX2DEC(Reverse(R594))-$I594,"")</f>
        <v>264</v>
      </c>
      <c r="L594" s="45" t="str" cm="1">
        <f t="array" ref="L594">IF(S594&lt;&gt;0, HEX2DEC(Reverse(S594))-$I594,"")</f>
        <v/>
      </c>
      <c r="M594" s="45" cm="1">
        <f t="array" ref="M594">IF(T594&lt;&gt;0, HEX2DEC(Reverse(T594))-$I594,"")</f>
        <v>259</v>
      </c>
      <c r="O594" s="3">
        <v>1020100</v>
      </c>
      <c r="P594" s="3" t="s">
        <v>114</v>
      </c>
      <c r="Q594" s="3" t="s">
        <v>915</v>
      </c>
      <c r="R594" s="3" t="s">
        <v>1525</v>
      </c>
      <c r="S594" s="3">
        <v>0</v>
      </c>
      <c r="T594" s="3" t="s">
        <v>1516</v>
      </c>
      <c r="U594" s="3"/>
      <c r="V594" s="4"/>
    </row>
    <row r="595" spans="1:22" x14ac:dyDescent="0.2">
      <c r="A595" s="20" t="s">
        <v>683</v>
      </c>
      <c r="B595" s="20">
        <v>3763</v>
      </c>
      <c r="C595" s="21" t="s">
        <v>1</v>
      </c>
      <c r="D595" s="21" t="s">
        <v>2</v>
      </c>
      <c r="E595" s="21" t="s">
        <v>90</v>
      </c>
      <c r="F595" s="21" t="s">
        <v>94</v>
      </c>
      <c r="G595" s="21" t="s">
        <v>1778</v>
      </c>
      <c r="H595" s="22" t="str" cm="1">
        <f t="array" ref="H595">Reverse2_6(O595)</f>
        <v>00-010201</v>
      </c>
      <c r="I595" s="45" cm="1">
        <f t="array" ref="I595">HEX2DEC(Reverse(P595))</f>
        <v>93631153</v>
      </c>
      <c r="J595" s="45" cm="1">
        <f t="array" ref="J595">IF(Q595&lt;&gt;0, HEX2DEC(Reverse(Q595))-$I595,"")</f>
        <v>28</v>
      </c>
      <c r="K595" s="45" cm="1">
        <f t="array" ref="K595">IF(R595&lt;&gt;0, HEX2DEC(Reverse(R595))-$I595,"")</f>
        <v>265</v>
      </c>
      <c r="L595" s="45" t="str" cm="1">
        <f t="array" ref="L595">IF(S595&lt;&gt;0, HEX2DEC(Reverse(S595))-$I595,"")</f>
        <v/>
      </c>
      <c r="M595" s="45" cm="1">
        <f t="array" ref="M595">IF(T595&lt;&gt;0, HEX2DEC(Reverse(T595))-$I595,"")</f>
        <v>260</v>
      </c>
      <c r="O595" s="3">
        <v>1020100</v>
      </c>
      <c r="P595" s="3" t="s">
        <v>114</v>
      </c>
      <c r="Q595" s="3" t="s">
        <v>915</v>
      </c>
      <c r="R595" s="3" t="s">
        <v>1528</v>
      </c>
      <c r="S595" s="3">
        <v>0</v>
      </c>
      <c r="T595" s="3" t="s">
        <v>1518</v>
      </c>
      <c r="U595" s="3"/>
      <c r="V595" s="4"/>
    </row>
    <row r="596" spans="1:22" x14ac:dyDescent="0.2">
      <c r="A596" s="20" t="s">
        <v>684</v>
      </c>
      <c r="B596" s="20">
        <v>3764</v>
      </c>
      <c r="C596" s="21" t="s">
        <v>1</v>
      </c>
      <c r="D596" s="21" t="s">
        <v>2</v>
      </c>
      <c r="E596" s="21" t="s">
        <v>90</v>
      </c>
      <c r="F596" s="21" t="s">
        <v>94</v>
      </c>
      <c r="G596" s="21" t="s">
        <v>1778</v>
      </c>
      <c r="H596" s="22" t="str" cm="1">
        <f t="array" ref="H596">Reverse2_6(O596)</f>
        <v>00-010201</v>
      </c>
      <c r="I596" s="45" cm="1">
        <f t="array" ref="I596">HEX2DEC(Reverse(P596))</f>
        <v>93631153</v>
      </c>
      <c r="J596" s="45" cm="1">
        <f t="array" ref="J596">IF(Q596&lt;&gt;0, HEX2DEC(Reverse(Q596))-$I596,"")</f>
        <v>28</v>
      </c>
      <c r="K596" s="45" cm="1">
        <f t="array" ref="K596">IF(R596&lt;&gt;0, HEX2DEC(Reverse(R596))-$I596,"")</f>
        <v>266</v>
      </c>
      <c r="L596" s="45" t="str" cm="1">
        <f t="array" ref="L596">IF(S596&lt;&gt;0, HEX2DEC(Reverse(S596))-$I596,"")</f>
        <v/>
      </c>
      <c r="M596" s="45" cm="1">
        <f t="array" ref="M596">IF(T596&lt;&gt;0, HEX2DEC(Reverse(T596))-$I596,"")</f>
        <v>261</v>
      </c>
      <c r="O596" s="3">
        <v>1020100</v>
      </c>
      <c r="P596" s="3" t="s">
        <v>114</v>
      </c>
      <c r="Q596" s="3" t="s">
        <v>915</v>
      </c>
      <c r="R596" s="3" t="s">
        <v>1531</v>
      </c>
      <c r="S596" s="3">
        <v>0</v>
      </c>
      <c r="T596" s="3" t="s">
        <v>1519</v>
      </c>
      <c r="U596" s="3"/>
      <c r="V596" s="4"/>
    </row>
    <row r="597" spans="1:22" x14ac:dyDescent="0.2">
      <c r="A597" s="46" t="s">
        <v>685</v>
      </c>
      <c r="B597" s="46">
        <v>3772</v>
      </c>
      <c r="C597" s="36" t="s">
        <v>1</v>
      </c>
      <c r="D597" s="36" t="s">
        <v>2</v>
      </c>
      <c r="E597" s="36" t="s">
        <v>90</v>
      </c>
      <c r="F597" s="36" t="s">
        <v>110</v>
      </c>
      <c r="G597" s="36" t="s">
        <v>1753</v>
      </c>
      <c r="H597" s="35" t="str" cm="1">
        <f t="array" ref="H597">Reverse2_6(O597)</f>
        <v>00-010101</v>
      </c>
      <c r="I597" s="44" cm="1">
        <f t="array" ref="I597">HEX2DEC(Reverse(P597))</f>
        <v>93631153</v>
      </c>
      <c r="J597" s="44" cm="1">
        <f t="array" ref="J597">IF(Q597&lt;&gt;0, HEX2DEC(Reverse(Q597))-$I597,"")</f>
        <v>29</v>
      </c>
      <c r="K597" s="44" cm="1">
        <f t="array" ref="K597">IF(R597&lt;&gt;0, HEX2DEC(Reverse(R597))-$I597,"")</f>
        <v>266</v>
      </c>
      <c r="L597" s="44" cm="1">
        <f t="array" ref="L597">IF(S597&lt;&gt;0, HEX2DEC(Reverse(S597))-$I597,"")</f>
        <v>29</v>
      </c>
      <c r="M597" s="44" cm="1">
        <f t="array" ref="M597">IF(T597&lt;&gt;0, HEX2DEC(Reverse(T597))-$I597,"")</f>
        <v>261</v>
      </c>
      <c r="O597" s="3">
        <v>1010100</v>
      </c>
      <c r="P597" s="3" t="s">
        <v>114</v>
      </c>
      <c r="Q597" s="3" t="s">
        <v>918</v>
      </c>
      <c r="R597" s="3" t="s">
        <v>1531</v>
      </c>
      <c r="S597" s="3" t="s">
        <v>918</v>
      </c>
      <c r="T597" s="3" t="s">
        <v>1519</v>
      </c>
      <c r="U597" s="3">
        <v>31313131</v>
      </c>
      <c r="V597" s="4" t="s">
        <v>145</v>
      </c>
    </row>
    <row r="598" spans="1:22" x14ac:dyDescent="0.2">
      <c r="A598" s="46" t="s">
        <v>686</v>
      </c>
      <c r="B598" s="46">
        <v>3773</v>
      </c>
      <c r="C598" s="36" t="s">
        <v>1</v>
      </c>
      <c r="D598" s="36" t="s">
        <v>2</v>
      </c>
      <c r="E598" s="36" t="s">
        <v>90</v>
      </c>
      <c r="F598" s="36" t="s">
        <v>106</v>
      </c>
      <c r="G598" s="36"/>
      <c r="H598" s="35" t="str" cm="1">
        <f t="array" ref="H598">Reverse2_6(O598)</f>
        <v>00-010101</v>
      </c>
      <c r="I598" s="44" cm="1">
        <f t="array" ref="I598">HEX2DEC(Reverse(P598))</f>
        <v>93631153</v>
      </c>
      <c r="J598" s="44" cm="1">
        <f t="array" ref="J598">IF(Q598&lt;&gt;0, HEX2DEC(Reverse(Q598))-$I598,"")</f>
        <v>30</v>
      </c>
      <c r="K598" s="44" cm="1">
        <f t="array" ref="K598">IF(R598&lt;&gt;0, HEX2DEC(Reverse(R598))-$I598,"")</f>
        <v>266</v>
      </c>
      <c r="L598" s="44" cm="1">
        <f t="array" ref="L598">IF(S598&lt;&gt;0, HEX2DEC(Reverse(S598))-$I598,"")</f>
        <v>30</v>
      </c>
      <c r="M598" s="44" cm="1">
        <f t="array" ref="M598">IF(T598&lt;&gt;0, HEX2DEC(Reverse(T598))-$I598,"")</f>
        <v>261</v>
      </c>
      <c r="O598" s="3">
        <v>1010100</v>
      </c>
      <c r="P598" s="3" t="s">
        <v>114</v>
      </c>
      <c r="Q598" s="3" t="s">
        <v>921</v>
      </c>
      <c r="R598" s="3" t="s">
        <v>1531</v>
      </c>
      <c r="S598" s="3" t="s">
        <v>921</v>
      </c>
      <c r="T598" s="3" t="s">
        <v>1519</v>
      </c>
      <c r="U598" s="3">
        <v>31313131</v>
      </c>
      <c r="V598" s="4" t="s">
        <v>135</v>
      </c>
    </row>
    <row r="599" spans="1:22" x14ac:dyDescent="0.2">
      <c r="A599" s="16" t="s">
        <v>687</v>
      </c>
      <c r="B599" s="16">
        <v>3783</v>
      </c>
      <c r="C599" s="15" t="s">
        <v>2</v>
      </c>
      <c r="D599" s="15" t="s">
        <v>1</v>
      </c>
      <c r="E599" s="15" t="s">
        <v>92</v>
      </c>
      <c r="F599" s="15" t="s">
        <v>96</v>
      </c>
      <c r="G599" s="15"/>
      <c r="H599" s="17" t="str" cm="1">
        <f t="array" ref="H599">Reverse2_6(O599)</f>
        <v>00-010101</v>
      </c>
      <c r="I599" s="18" cm="1">
        <f t="array" ref="I599">HEX2DEC(Reverse(P599))</f>
        <v>93631153</v>
      </c>
      <c r="J599" s="18" cm="1">
        <f t="array" ref="J599">IF(Q599&lt;&gt;0, HEX2DEC(Reverse(Q599))-$I599,"")</f>
        <v>267</v>
      </c>
      <c r="K599" s="18" cm="1">
        <f t="array" ref="K599">IF(R599&lt;&gt;0, HEX2DEC(Reverse(R599))-$I599,"")</f>
        <v>28</v>
      </c>
      <c r="L599" s="18" cm="1">
        <f t="array" ref="L599">IF(S599&lt;&gt;0, HEX2DEC(Reverse(S599))-$I599,"")</f>
        <v>262</v>
      </c>
      <c r="M599" s="18" cm="1">
        <f t="array" ref="M599">IF(T599&lt;&gt;0, HEX2DEC(Reverse(T599))-$I599,"")</f>
        <v>28</v>
      </c>
      <c r="O599" s="3">
        <v>1010100</v>
      </c>
      <c r="P599" s="3" t="s">
        <v>114</v>
      </c>
      <c r="Q599" s="3" t="s">
        <v>1534</v>
      </c>
      <c r="R599" s="3" t="s">
        <v>915</v>
      </c>
      <c r="S599" s="3" t="s">
        <v>1520</v>
      </c>
      <c r="T599" s="3" t="s">
        <v>915</v>
      </c>
      <c r="U599" s="3">
        <v>31313131</v>
      </c>
      <c r="V599" s="4" t="s">
        <v>1535</v>
      </c>
    </row>
    <row r="600" spans="1:22" x14ac:dyDescent="0.2">
      <c r="A600" s="16" t="s">
        <v>688</v>
      </c>
      <c r="B600" s="16">
        <v>3784</v>
      </c>
      <c r="C600" s="15" t="s">
        <v>2</v>
      </c>
      <c r="D600" s="15" t="s">
        <v>1</v>
      </c>
      <c r="E600" s="15" t="s">
        <v>92</v>
      </c>
      <c r="F600" s="15" t="s">
        <v>897</v>
      </c>
      <c r="G600" s="15"/>
      <c r="H600" s="17" t="str" cm="1">
        <f t="array" ref="H600">Reverse2_6(O600)</f>
        <v>00-010101</v>
      </c>
      <c r="I600" s="18" cm="1">
        <f t="array" ref="I600">HEX2DEC(Reverse(P600))</f>
        <v>93631153</v>
      </c>
      <c r="J600" s="18" cm="1">
        <f t="array" ref="J600">IF(Q600&lt;&gt;0, HEX2DEC(Reverse(Q600))-$I600,"")</f>
        <v>268</v>
      </c>
      <c r="K600" s="18" cm="1">
        <f t="array" ref="K600">IF(R600&lt;&gt;0, HEX2DEC(Reverse(R600))-$I600,"")</f>
        <v>28</v>
      </c>
      <c r="L600" s="18" cm="1">
        <f t="array" ref="L600">IF(S600&lt;&gt;0, HEX2DEC(Reverse(S600))-$I600,"")</f>
        <v>263</v>
      </c>
      <c r="M600" s="18" cm="1">
        <f t="array" ref="M600">IF(T600&lt;&gt;0, HEX2DEC(Reverse(T600))-$I600,"")</f>
        <v>28</v>
      </c>
      <c r="O600" s="3">
        <v>1010100</v>
      </c>
      <c r="P600" s="3" t="s">
        <v>114</v>
      </c>
      <c r="Q600" s="3" t="s">
        <v>1536</v>
      </c>
      <c r="R600" s="3" t="s">
        <v>915</v>
      </c>
      <c r="S600" s="3" t="s">
        <v>1523</v>
      </c>
      <c r="T600" s="3" t="s">
        <v>915</v>
      </c>
      <c r="U600" s="3" t="s">
        <v>1537</v>
      </c>
      <c r="V600" s="4" t="s">
        <v>1538</v>
      </c>
    </row>
    <row r="601" spans="1:22" x14ac:dyDescent="0.2">
      <c r="A601" s="16" t="s">
        <v>689</v>
      </c>
      <c r="B601" s="16">
        <v>3785</v>
      </c>
      <c r="C601" s="15" t="s">
        <v>2</v>
      </c>
      <c r="D601" s="15" t="s">
        <v>1</v>
      </c>
      <c r="E601" s="15" t="s">
        <v>92</v>
      </c>
      <c r="F601" s="15" t="s">
        <v>96</v>
      </c>
      <c r="G601" s="15"/>
      <c r="H601" s="17" t="str" cm="1">
        <f t="array" ref="H601">Reverse2_6(O601)</f>
        <v>00-010101</v>
      </c>
      <c r="I601" s="18" cm="1">
        <f t="array" ref="I601">HEX2DEC(Reverse(P601))</f>
        <v>93631153</v>
      </c>
      <c r="J601" s="18" cm="1">
        <f t="array" ref="J601">IF(Q601&lt;&gt;0, HEX2DEC(Reverse(Q601))-$I601,"")</f>
        <v>269</v>
      </c>
      <c r="K601" s="18" cm="1">
        <f t="array" ref="K601">IF(R601&lt;&gt;0, HEX2DEC(Reverse(R601))-$I601,"")</f>
        <v>28</v>
      </c>
      <c r="L601" s="18" cm="1">
        <f t="array" ref="L601">IF(S601&lt;&gt;0, HEX2DEC(Reverse(S601))-$I601,"")</f>
        <v>264</v>
      </c>
      <c r="M601" s="18" cm="1">
        <f t="array" ref="M601">IF(T601&lt;&gt;0, HEX2DEC(Reverse(T601))-$I601,"")</f>
        <v>28</v>
      </c>
      <c r="O601" s="3">
        <v>1010100</v>
      </c>
      <c r="P601" s="3" t="s">
        <v>114</v>
      </c>
      <c r="Q601" s="3" t="s">
        <v>1539</v>
      </c>
      <c r="R601" s="3" t="s">
        <v>915</v>
      </c>
      <c r="S601" s="3" t="s">
        <v>1525</v>
      </c>
      <c r="T601" s="3" t="s">
        <v>915</v>
      </c>
      <c r="U601" s="3">
        <v>31313131</v>
      </c>
      <c r="V601" s="4" t="s">
        <v>1540</v>
      </c>
    </row>
    <row r="602" spans="1:22" x14ac:dyDescent="0.2">
      <c r="A602" s="16" t="s">
        <v>690</v>
      </c>
      <c r="B602" s="16">
        <v>3786</v>
      </c>
      <c r="C602" s="15" t="s">
        <v>2</v>
      </c>
      <c r="D602" s="15" t="s">
        <v>1</v>
      </c>
      <c r="E602" s="15" t="s">
        <v>92</v>
      </c>
      <c r="F602" s="15" t="s">
        <v>101</v>
      </c>
      <c r="G602" s="15"/>
      <c r="H602" s="17" t="str" cm="1">
        <f t="array" ref="H602">Reverse2_6(O602)</f>
        <v>00-010101</v>
      </c>
      <c r="I602" s="18" cm="1">
        <f t="array" ref="I602">HEX2DEC(Reverse(P602))</f>
        <v>93631153</v>
      </c>
      <c r="J602" s="18" cm="1">
        <f t="array" ref="J602">IF(Q602&lt;&gt;0, HEX2DEC(Reverse(Q602))-$I602,"")</f>
        <v>270</v>
      </c>
      <c r="K602" s="18" cm="1">
        <f t="array" ref="K602">IF(R602&lt;&gt;0, HEX2DEC(Reverse(R602))-$I602,"")</f>
        <v>28</v>
      </c>
      <c r="L602" s="18" cm="1">
        <f t="array" ref="L602">IF(S602&lt;&gt;0, HEX2DEC(Reverse(S602))-$I602,"")</f>
        <v>265</v>
      </c>
      <c r="M602" s="18" cm="1">
        <f t="array" ref="M602">IF(T602&lt;&gt;0, HEX2DEC(Reverse(T602))-$I602,"")</f>
        <v>28</v>
      </c>
      <c r="O602" s="3">
        <v>1010100</v>
      </c>
      <c r="P602" s="3" t="s">
        <v>114</v>
      </c>
      <c r="Q602" s="3" t="s">
        <v>1541</v>
      </c>
      <c r="R602" s="3" t="s">
        <v>915</v>
      </c>
      <c r="S602" s="3" t="s">
        <v>1528</v>
      </c>
      <c r="T602" s="3" t="s">
        <v>915</v>
      </c>
      <c r="U602" s="3" t="s">
        <v>1542</v>
      </c>
      <c r="V602" s="4" t="s">
        <v>1543</v>
      </c>
    </row>
    <row r="603" spans="1:22" x14ac:dyDescent="0.2">
      <c r="A603" s="20" t="s">
        <v>691</v>
      </c>
      <c r="B603" s="20">
        <v>3787</v>
      </c>
      <c r="C603" s="21" t="s">
        <v>1</v>
      </c>
      <c r="D603" s="21" t="s">
        <v>2</v>
      </c>
      <c r="E603" s="21" t="s">
        <v>90</v>
      </c>
      <c r="F603" s="21" t="s">
        <v>94</v>
      </c>
      <c r="G603" s="21" t="s">
        <v>1778</v>
      </c>
      <c r="H603" s="22" t="str" cm="1">
        <f t="array" ref="H603">Reverse2_6(O603)</f>
        <v>00-010201</v>
      </c>
      <c r="I603" s="45" cm="1">
        <f t="array" ref="I603">HEX2DEC(Reverse(P603))</f>
        <v>93631153</v>
      </c>
      <c r="J603" s="45" cm="1">
        <f t="array" ref="J603">IF(Q603&lt;&gt;0, HEX2DEC(Reverse(Q603))-$I603,"")</f>
        <v>30</v>
      </c>
      <c r="K603" s="45" cm="1">
        <f t="array" ref="K603">IF(R603&lt;&gt;0, HEX2DEC(Reverse(R603))-$I603,"")</f>
        <v>267</v>
      </c>
      <c r="L603" s="45" t="str" cm="1">
        <f t="array" ref="L603">IF(S603&lt;&gt;0, HEX2DEC(Reverse(S603))-$I603,"")</f>
        <v/>
      </c>
      <c r="M603" s="45" cm="1">
        <f t="array" ref="M603">IF(T603&lt;&gt;0, HEX2DEC(Reverse(T603))-$I603,"")</f>
        <v>262</v>
      </c>
      <c r="O603" s="3">
        <v>1020100</v>
      </c>
      <c r="P603" s="3" t="s">
        <v>114</v>
      </c>
      <c r="Q603" s="3" t="s">
        <v>921</v>
      </c>
      <c r="R603" s="3" t="s">
        <v>1534</v>
      </c>
      <c r="S603" s="3">
        <v>0</v>
      </c>
      <c r="T603" s="3" t="s">
        <v>1520</v>
      </c>
      <c r="U603" s="3"/>
      <c r="V603" s="4"/>
    </row>
    <row r="604" spans="1:22" x14ac:dyDescent="0.2">
      <c r="A604" s="20" t="s">
        <v>692</v>
      </c>
      <c r="B604" s="20">
        <v>3788</v>
      </c>
      <c r="C604" s="21" t="s">
        <v>1</v>
      </c>
      <c r="D604" s="21" t="s">
        <v>2</v>
      </c>
      <c r="E604" s="21" t="s">
        <v>90</v>
      </c>
      <c r="F604" s="21" t="s">
        <v>94</v>
      </c>
      <c r="G604" s="21" t="s">
        <v>1778</v>
      </c>
      <c r="H604" s="22" t="str" cm="1">
        <f t="array" ref="H604">Reverse2_6(O604)</f>
        <v>00-010201</v>
      </c>
      <c r="I604" s="45" cm="1">
        <f t="array" ref="I604">HEX2DEC(Reverse(P604))</f>
        <v>93631153</v>
      </c>
      <c r="J604" s="45" cm="1">
        <f t="array" ref="J604">IF(Q604&lt;&gt;0, HEX2DEC(Reverse(Q604))-$I604,"")</f>
        <v>30</v>
      </c>
      <c r="K604" s="45" cm="1">
        <f t="array" ref="K604">IF(R604&lt;&gt;0, HEX2DEC(Reverse(R604))-$I604,"")</f>
        <v>268</v>
      </c>
      <c r="L604" s="45" t="str" cm="1">
        <f t="array" ref="L604">IF(S604&lt;&gt;0, HEX2DEC(Reverse(S604))-$I604,"")</f>
        <v/>
      </c>
      <c r="M604" s="45" cm="1">
        <f t="array" ref="M604">IF(T604&lt;&gt;0, HEX2DEC(Reverse(T604))-$I604,"")</f>
        <v>263</v>
      </c>
      <c r="O604" s="3">
        <v>1020100</v>
      </c>
      <c r="P604" s="3" t="s">
        <v>114</v>
      </c>
      <c r="Q604" s="3" t="s">
        <v>921</v>
      </c>
      <c r="R604" s="3" t="s">
        <v>1536</v>
      </c>
      <c r="S604" s="3">
        <v>0</v>
      </c>
      <c r="T604" s="3" t="s">
        <v>1523</v>
      </c>
      <c r="U604" s="3"/>
      <c r="V604" s="4"/>
    </row>
    <row r="605" spans="1:22" x14ac:dyDescent="0.2">
      <c r="A605" s="20" t="s">
        <v>693</v>
      </c>
      <c r="B605" s="20">
        <v>3789</v>
      </c>
      <c r="C605" s="21" t="s">
        <v>1</v>
      </c>
      <c r="D605" s="21" t="s">
        <v>2</v>
      </c>
      <c r="E605" s="21" t="s">
        <v>90</v>
      </c>
      <c r="F605" s="21" t="s">
        <v>94</v>
      </c>
      <c r="G605" s="21" t="s">
        <v>1778</v>
      </c>
      <c r="H605" s="22" t="str" cm="1">
        <f t="array" ref="H605">Reverse2_6(O605)</f>
        <v>00-010201</v>
      </c>
      <c r="I605" s="45" cm="1">
        <f t="array" ref="I605">HEX2DEC(Reverse(P605))</f>
        <v>93631153</v>
      </c>
      <c r="J605" s="45" cm="1">
        <f t="array" ref="J605">IF(Q605&lt;&gt;0, HEX2DEC(Reverse(Q605))-$I605,"")</f>
        <v>30</v>
      </c>
      <c r="K605" s="45" cm="1">
        <f t="array" ref="K605">IF(R605&lt;&gt;0, HEX2DEC(Reverse(R605))-$I605,"")</f>
        <v>269</v>
      </c>
      <c r="L605" s="45" t="str" cm="1">
        <f t="array" ref="L605">IF(S605&lt;&gt;0, HEX2DEC(Reverse(S605))-$I605,"")</f>
        <v/>
      </c>
      <c r="M605" s="45" cm="1">
        <f t="array" ref="M605">IF(T605&lt;&gt;0, HEX2DEC(Reverse(T605))-$I605,"")</f>
        <v>264</v>
      </c>
      <c r="O605" s="3">
        <v>1020100</v>
      </c>
      <c r="P605" s="3" t="s">
        <v>114</v>
      </c>
      <c r="Q605" s="3" t="s">
        <v>921</v>
      </c>
      <c r="R605" s="3" t="s">
        <v>1539</v>
      </c>
      <c r="S605" s="3">
        <v>0</v>
      </c>
      <c r="T605" s="3" t="s">
        <v>1525</v>
      </c>
      <c r="U605" s="3"/>
      <c r="V605" s="4"/>
    </row>
    <row r="606" spans="1:22" x14ac:dyDescent="0.2">
      <c r="A606" s="20" t="s">
        <v>694</v>
      </c>
      <c r="B606" s="20">
        <v>3790</v>
      </c>
      <c r="C606" s="21" t="s">
        <v>1</v>
      </c>
      <c r="D606" s="21" t="s">
        <v>2</v>
      </c>
      <c r="E606" s="21" t="s">
        <v>90</v>
      </c>
      <c r="F606" s="21" t="s">
        <v>94</v>
      </c>
      <c r="G606" s="21" t="s">
        <v>1778</v>
      </c>
      <c r="H606" s="22" t="str" cm="1">
        <f t="array" ref="H606">Reverse2_6(O606)</f>
        <v>00-010201</v>
      </c>
      <c r="I606" s="45" cm="1">
        <f t="array" ref="I606">HEX2DEC(Reverse(P606))</f>
        <v>93631153</v>
      </c>
      <c r="J606" s="45" cm="1">
        <f t="array" ref="J606">IF(Q606&lt;&gt;0, HEX2DEC(Reverse(Q606))-$I606,"")</f>
        <v>30</v>
      </c>
      <c r="K606" s="45" cm="1">
        <f t="array" ref="K606">IF(R606&lt;&gt;0, HEX2DEC(Reverse(R606))-$I606,"")</f>
        <v>270</v>
      </c>
      <c r="L606" s="45" t="str" cm="1">
        <f t="array" ref="L606">IF(S606&lt;&gt;0, HEX2DEC(Reverse(S606))-$I606,"")</f>
        <v/>
      </c>
      <c r="M606" s="45" cm="1">
        <f t="array" ref="M606">IF(T606&lt;&gt;0, HEX2DEC(Reverse(T606))-$I606,"")</f>
        <v>265</v>
      </c>
      <c r="O606" s="3">
        <v>1020100</v>
      </c>
      <c r="P606" s="3" t="s">
        <v>114</v>
      </c>
      <c r="Q606" s="3" t="s">
        <v>921</v>
      </c>
      <c r="R606" s="3" t="s">
        <v>1541</v>
      </c>
      <c r="S606" s="3">
        <v>0</v>
      </c>
      <c r="T606" s="3" t="s">
        <v>1528</v>
      </c>
      <c r="U606" s="3"/>
      <c r="V606" s="4"/>
    </row>
    <row r="607" spans="1:22" x14ac:dyDescent="0.2">
      <c r="A607" s="16" t="s">
        <v>695</v>
      </c>
      <c r="B607" s="16">
        <v>3807</v>
      </c>
      <c r="C607" s="15" t="s">
        <v>2</v>
      </c>
      <c r="D607" s="15" t="s">
        <v>1</v>
      </c>
      <c r="E607" s="15" t="s">
        <v>92</v>
      </c>
      <c r="F607" s="15" t="s">
        <v>96</v>
      </c>
      <c r="G607" s="15"/>
      <c r="H607" s="17" t="str" cm="1">
        <f t="array" ref="H607">Reverse2_6(O607)</f>
        <v>00-010101</v>
      </c>
      <c r="I607" s="18" cm="1">
        <f t="array" ref="I607">HEX2DEC(Reverse(P607))</f>
        <v>93631153</v>
      </c>
      <c r="J607" s="18" cm="1">
        <f t="array" ref="J607">IF(Q607&lt;&gt;0, HEX2DEC(Reverse(Q607))-$I607,"")</f>
        <v>271</v>
      </c>
      <c r="K607" s="18" cm="1">
        <f t="array" ref="K607">IF(R607&lt;&gt;0, HEX2DEC(Reverse(R607))-$I607,"")</f>
        <v>28</v>
      </c>
      <c r="L607" s="18" cm="1">
        <f t="array" ref="L607">IF(S607&lt;&gt;0, HEX2DEC(Reverse(S607))-$I607,"")</f>
        <v>266</v>
      </c>
      <c r="M607" s="18" cm="1">
        <f t="array" ref="M607">IF(T607&lt;&gt;0, HEX2DEC(Reverse(T607))-$I607,"")</f>
        <v>28</v>
      </c>
      <c r="O607" s="3">
        <v>1010100</v>
      </c>
      <c r="P607" s="3" t="s">
        <v>114</v>
      </c>
      <c r="Q607" s="3" t="s">
        <v>1544</v>
      </c>
      <c r="R607" s="3" t="s">
        <v>915</v>
      </c>
      <c r="S607" s="3" t="s">
        <v>1531</v>
      </c>
      <c r="T607" s="3" t="s">
        <v>915</v>
      </c>
      <c r="U607" s="3">
        <v>31313131</v>
      </c>
      <c r="V607" s="4" t="s">
        <v>1545</v>
      </c>
    </row>
    <row r="608" spans="1:22" x14ac:dyDescent="0.2">
      <c r="A608" s="16" t="s">
        <v>696</v>
      </c>
      <c r="B608" s="16">
        <v>3808</v>
      </c>
      <c r="C608" s="15" t="s">
        <v>2</v>
      </c>
      <c r="D608" s="15" t="s">
        <v>1</v>
      </c>
      <c r="E608" s="15" t="s">
        <v>92</v>
      </c>
      <c r="F608" s="15" t="s">
        <v>96</v>
      </c>
      <c r="G608" s="15"/>
      <c r="H608" s="17" t="str" cm="1">
        <f t="array" ref="H608">Reverse2_6(O608)</f>
        <v>00-010101</v>
      </c>
      <c r="I608" s="18" cm="1">
        <f t="array" ref="I608">HEX2DEC(Reverse(P608))</f>
        <v>93631153</v>
      </c>
      <c r="J608" s="18" cm="1">
        <f t="array" ref="J608">IF(Q608&lt;&gt;0, HEX2DEC(Reverse(Q608))-$I608,"")</f>
        <v>272</v>
      </c>
      <c r="K608" s="18" cm="1">
        <f t="array" ref="K608">IF(R608&lt;&gt;0, HEX2DEC(Reverse(R608))-$I608,"")</f>
        <v>28</v>
      </c>
      <c r="L608" s="18" cm="1">
        <f t="array" ref="L608">IF(S608&lt;&gt;0, HEX2DEC(Reverse(S608))-$I608,"")</f>
        <v>267</v>
      </c>
      <c r="M608" s="18" cm="1">
        <f t="array" ref="M608">IF(T608&lt;&gt;0, HEX2DEC(Reverse(T608))-$I608,"")</f>
        <v>28</v>
      </c>
      <c r="O608" s="3">
        <v>1010100</v>
      </c>
      <c r="P608" s="3" t="s">
        <v>114</v>
      </c>
      <c r="Q608" s="3" t="s">
        <v>1546</v>
      </c>
      <c r="R608" s="3" t="s">
        <v>915</v>
      </c>
      <c r="S608" s="3" t="s">
        <v>1534</v>
      </c>
      <c r="T608" s="3" t="s">
        <v>915</v>
      </c>
      <c r="U608" s="3" t="s">
        <v>1547</v>
      </c>
      <c r="V608" s="4" t="s">
        <v>1548</v>
      </c>
    </row>
    <row r="609" spans="1:22" x14ac:dyDescent="0.2">
      <c r="A609" s="16" t="s">
        <v>697</v>
      </c>
      <c r="B609" s="16">
        <v>3809</v>
      </c>
      <c r="C609" s="15" t="s">
        <v>2</v>
      </c>
      <c r="D609" s="15" t="s">
        <v>1</v>
      </c>
      <c r="E609" s="15" t="s">
        <v>92</v>
      </c>
      <c r="F609" s="15" t="s">
        <v>898</v>
      </c>
      <c r="G609" s="15"/>
      <c r="H609" s="17" t="str" cm="1">
        <f t="array" ref="H609">Reverse2_6(O609)</f>
        <v>00-010101</v>
      </c>
      <c r="I609" s="18" cm="1">
        <f t="array" ref="I609">HEX2DEC(Reverse(P609))</f>
        <v>93631153</v>
      </c>
      <c r="J609" s="18" cm="1">
        <f t="array" ref="J609">IF(Q609&lt;&gt;0, HEX2DEC(Reverse(Q609))-$I609,"")</f>
        <v>273</v>
      </c>
      <c r="K609" s="18" cm="1">
        <f t="array" ref="K609">IF(R609&lt;&gt;0, HEX2DEC(Reverse(R609))-$I609,"")</f>
        <v>28</v>
      </c>
      <c r="L609" s="18" cm="1">
        <f t="array" ref="L609">IF(S609&lt;&gt;0, HEX2DEC(Reverse(S609))-$I609,"")</f>
        <v>268</v>
      </c>
      <c r="M609" s="18" cm="1">
        <f t="array" ref="M609">IF(T609&lt;&gt;0, HEX2DEC(Reverse(T609))-$I609,"")</f>
        <v>28</v>
      </c>
      <c r="O609" s="3">
        <v>1010100</v>
      </c>
      <c r="P609" s="3" t="s">
        <v>114</v>
      </c>
      <c r="Q609" s="3" t="s">
        <v>1549</v>
      </c>
      <c r="R609" s="3" t="s">
        <v>915</v>
      </c>
      <c r="S609" s="3" t="s">
        <v>1536</v>
      </c>
      <c r="T609" s="3" t="s">
        <v>915</v>
      </c>
      <c r="U609" s="3" t="s">
        <v>1550</v>
      </c>
      <c r="V609" s="4" t="s">
        <v>1551</v>
      </c>
    </row>
    <row r="610" spans="1:22" x14ac:dyDescent="0.2">
      <c r="A610" s="20" t="s">
        <v>698</v>
      </c>
      <c r="B610" s="20">
        <v>3810</v>
      </c>
      <c r="C610" s="21" t="s">
        <v>1</v>
      </c>
      <c r="D610" s="21" t="s">
        <v>2</v>
      </c>
      <c r="E610" s="21" t="s">
        <v>90</v>
      </c>
      <c r="F610" s="21" t="s">
        <v>94</v>
      </c>
      <c r="G610" s="21" t="s">
        <v>1778</v>
      </c>
      <c r="H610" s="22" t="str" cm="1">
        <f t="array" ref="H610">Reverse2_6(O610)</f>
        <v>00-010201</v>
      </c>
      <c r="I610" s="45" cm="1">
        <f t="array" ref="I610">HEX2DEC(Reverse(P610))</f>
        <v>93631153</v>
      </c>
      <c r="J610" s="45" cm="1">
        <f t="array" ref="J610">IF(Q610&lt;&gt;0, HEX2DEC(Reverse(Q610))-$I610,"")</f>
        <v>30</v>
      </c>
      <c r="K610" s="45" cm="1">
        <f t="array" ref="K610">IF(R610&lt;&gt;0, HEX2DEC(Reverse(R610))-$I610,"")</f>
        <v>271</v>
      </c>
      <c r="L610" s="45" t="str" cm="1">
        <f t="array" ref="L610">IF(S610&lt;&gt;0, HEX2DEC(Reverse(S610))-$I610,"")</f>
        <v/>
      </c>
      <c r="M610" s="45" cm="1">
        <f t="array" ref="M610">IF(T610&lt;&gt;0, HEX2DEC(Reverse(T610))-$I610,"")</f>
        <v>266</v>
      </c>
      <c r="O610" s="3">
        <v>1020100</v>
      </c>
      <c r="P610" s="3" t="s">
        <v>114</v>
      </c>
      <c r="Q610" s="3" t="s">
        <v>921</v>
      </c>
      <c r="R610" s="3" t="s">
        <v>1544</v>
      </c>
      <c r="S610" s="3">
        <v>0</v>
      </c>
      <c r="T610" s="3" t="s">
        <v>1531</v>
      </c>
      <c r="U610" s="3"/>
      <c r="V610" s="4"/>
    </row>
    <row r="611" spans="1:22" x14ac:dyDescent="0.2">
      <c r="A611" s="20" t="s">
        <v>699</v>
      </c>
      <c r="B611" s="20">
        <v>3811</v>
      </c>
      <c r="C611" s="21" t="s">
        <v>1</v>
      </c>
      <c r="D611" s="21" t="s">
        <v>2</v>
      </c>
      <c r="E611" s="21" t="s">
        <v>90</v>
      </c>
      <c r="F611" s="21" t="s">
        <v>94</v>
      </c>
      <c r="G611" s="21" t="s">
        <v>1778</v>
      </c>
      <c r="H611" s="22" t="str" cm="1">
        <f t="array" ref="H611">Reverse2_6(O611)</f>
        <v>00-010201</v>
      </c>
      <c r="I611" s="45" cm="1">
        <f t="array" ref="I611">HEX2DEC(Reverse(P611))</f>
        <v>93631153</v>
      </c>
      <c r="J611" s="45" cm="1">
        <f t="array" ref="J611">IF(Q611&lt;&gt;0, HEX2DEC(Reverse(Q611))-$I611,"")</f>
        <v>30</v>
      </c>
      <c r="K611" s="45" cm="1">
        <f t="array" ref="K611">IF(R611&lt;&gt;0, HEX2DEC(Reverse(R611))-$I611,"")</f>
        <v>272</v>
      </c>
      <c r="L611" s="45" t="str" cm="1">
        <f t="array" ref="L611">IF(S611&lt;&gt;0, HEX2DEC(Reverse(S611))-$I611,"")</f>
        <v/>
      </c>
      <c r="M611" s="45" cm="1">
        <f t="array" ref="M611">IF(T611&lt;&gt;0, HEX2DEC(Reverse(T611))-$I611,"")</f>
        <v>267</v>
      </c>
      <c r="O611" s="3">
        <v>1020100</v>
      </c>
      <c r="P611" s="3" t="s">
        <v>114</v>
      </c>
      <c r="Q611" s="3" t="s">
        <v>921</v>
      </c>
      <c r="R611" s="3" t="s">
        <v>1546</v>
      </c>
      <c r="S611" s="3">
        <v>0</v>
      </c>
      <c r="T611" s="3" t="s">
        <v>1534</v>
      </c>
      <c r="U611" s="3"/>
      <c r="V611" s="4"/>
    </row>
    <row r="612" spans="1:22" x14ac:dyDescent="0.2">
      <c r="A612" s="20" t="s">
        <v>700</v>
      </c>
      <c r="B612" s="20">
        <v>3812</v>
      </c>
      <c r="C612" s="21" t="s">
        <v>1</v>
      </c>
      <c r="D612" s="21" t="s">
        <v>2</v>
      </c>
      <c r="E612" s="21" t="s">
        <v>90</v>
      </c>
      <c r="F612" s="21" t="s">
        <v>94</v>
      </c>
      <c r="G612" s="21" t="s">
        <v>1778</v>
      </c>
      <c r="H612" s="22" t="str" cm="1">
        <f t="array" ref="H612">Reverse2_6(O612)</f>
        <v>00-010201</v>
      </c>
      <c r="I612" s="45" cm="1">
        <f t="array" ref="I612">HEX2DEC(Reverse(P612))</f>
        <v>93631153</v>
      </c>
      <c r="J612" s="45" cm="1">
        <f t="array" ref="J612">IF(Q612&lt;&gt;0, HEX2DEC(Reverse(Q612))-$I612,"")</f>
        <v>30</v>
      </c>
      <c r="K612" s="45" cm="1">
        <f t="array" ref="K612">IF(R612&lt;&gt;0, HEX2DEC(Reverse(R612))-$I612,"")</f>
        <v>273</v>
      </c>
      <c r="L612" s="45" t="str" cm="1">
        <f t="array" ref="L612">IF(S612&lt;&gt;0, HEX2DEC(Reverse(S612))-$I612,"")</f>
        <v/>
      </c>
      <c r="M612" s="45" cm="1">
        <f t="array" ref="M612">IF(T612&lt;&gt;0, HEX2DEC(Reverse(T612))-$I612,"")</f>
        <v>268</v>
      </c>
      <c r="O612" s="3">
        <v>1020100</v>
      </c>
      <c r="P612" s="3" t="s">
        <v>114</v>
      </c>
      <c r="Q612" s="3" t="s">
        <v>921</v>
      </c>
      <c r="R612" s="3" t="s">
        <v>1549</v>
      </c>
      <c r="S612" s="3">
        <v>0</v>
      </c>
      <c r="T612" s="3" t="s">
        <v>1536</v>
      </c>
      <c r="U612" s="3"/>
      <c r="V612" s="4"/>
    </row>
    <row r="613" spans="1:22" x14ac:dyDescent="0.2">
      <c r="A613" s="16" t="s">
        <v>701</v>
      </c>
      <c r="B613" s="16">
        <v>3823</v>
      </c>
      <c r="C613" s="15" t="s">
        <v>2</v>
      </c>
      <c r="D613" s="15" t="s">
        <v>1</v>
      </c>
      <c r="E613" s="15" t="s">
        <v>92</v>
      </c>
      <c r="F613" s="15" t="s">
        <v>96</v>
      </c>
      <c r="G613" s="15"/>
      <c r="H613" s="17" t="str" cm="1">
        <f t="array" ref="H613">Reverse2_6(O613)</f>
        <v>00-010101</v>
      </c>
      <c r="I613" s="18" cm="1">
        <f t="array" ref="I613">HEX2DEC(Reverse(P613))</f>
        <v>93631153</v>
      </c>
      <c r="J613" s="18" cm="1">
        <f t="array" ref="J613">IF(Q613&lt;&gt;0, HEX2DEC(Reverse(Q613))-$I613,"")</f>
        <v>274</v>
      </c>
      <c r="K613" s="18" cm="1">
        <f t="array" ref="K613">IF(R613&lt;&gt;0, HEX2DEC(Reverse(R613))-$I613,"")</f>
        <v>28</v>
      </c>
      <c r="L613" s="18" cm="1">
        <f t="array" ref="L613">IF(S613&lt;&gt;0, HEX2DEC(Reverse(S613))-$I613,"")</f>
        <v>269</v>
      </c>
      <c r="M613" s="18" cm="1">
        <f t="array" ref="M613">IF(T613&lt;&gt;0, HEX2DEC(Reverse(T613))-$I613,"")</f>
        <v>28</v>
      </c>
      <c r="O613" s="3">
        <v>1010100</v>
      </c>
      <c r="P613" s="3" t="s">
        <v>114</v>
      </c>
      <c r="Q613" s="3" t="s">
        <v>1552</v>
      </c>
      <c r="R613" s="3" t="s">
        <v>915</v>
      </c>
      <c r="S613" s="3" t="s">
        <v>1539</v>
      </c>
      <c r="T613" s="3" t="s">
        <v>915</v>
      </c>
      <c r="U613" s="3">
        <v>31313131</v>
      </c>
      <c r="V613" s="4" t="s">
        <v>1553</v>
      </c>
    </row>
    <row r="614" spans="1:22" x14ac:dyDescent="0.2">
      <c r="A614" s="16" t="s">
        <v>702</v>
      </c>
      <c r="B614" s="16">
        <v>3824</v>
      </c>
      <c r="C614" s="15" t="s">
        <v>2</v>
      </c>
      <c r="D614" s="15" t="s">
        <v>1</v>
      </c>
      <c r="E614" s="15" t="s">
        <v>92</v>
      </c>
      <c r="F614" s="15" t="s">
        <v>899</v>
      </c>
      <c r="G614" s="15"/>
      <c r="H614" s="17" t="str" cm="1">
        <f t="array" ref="H614">Reverse2_6(O614)</f>
        <v>00-010101</v>
      </c>
      <c r="I614" s="18" cm="1">
        <f t="array" ref="I614">HEX2DEC(Reverse(P614))</f>
        <v>93631153</v>
      </c>
      <c r="J614" s="18" cm="1">
        <f t="array" ref="J614">IF(Q614&lt;&gt;0, HEX2DEC(Reverse(Q614))-$I614,"")</f>
        <v>275</v>
      </c>
      <c r="K614" s="18" cm="1">
        <f t="array" ref="K614">IF(R614&lt;&gt;0, HEX2DEC(Reverse(R614))-$I614,"")</f>
        <v>28</v>
      </c>
      <c r="L614" s="18" cm="1">
        <f t="array" ref="L614">IF(S614&lt;&gt;0, HEX2DEC(Reverse(S614))-$I614,"")</f>
        <v>270</v>
      </c>
      <c r="M614" s="18" cm="1">
        <f t="array" ref="M614">IF(T614&lt;&gt;0, HEX2DEC(Reverse(T614))-$I614,"")</f>
        <v>28</v>
      </c>
      <c r="O614" s="3">
        <v>1010100</v>
      </c>
      <c r="P614" s="3" t="s">
        <v>114</v>
      </c>
      <c r="Q614" s="3" t="s">
        <v>1554</v>
      </c>
      <c r="R614" s="3" t="s">
        <v>915</v>
      </c>
      <c r="S614" s="3" t="s">
        <v>1541</v>
      </c>
      <c r="T614" s="3" t="s">
        <v>915</v>
      </c>
      <c r="U614" s="3" t="s">
        <v>1555</v>
      </c>
      <c r="V614" s="4" t="s">
        <v>1556</v>
      </c>
    </row>
    <row r="615" spans="1:22" x14ac:dyDescent="0.2">
      <c r="A615" s="20" t="s">
        <v>703</v>
      </c>
      <c r="B615" s="20">
        <v>3825</v>
      </c>
      <c r="C615" s="21" t="s">
        <v>1</v>
      </c>
      <c r="D615" s="21" t="s">
        <v>2</v>
      </c>
      <c r="E615" s="21" t="s">
        <v>90</v>
      </c>
      <c r="F615" s="21" t="s">
        <v>94</v>
      </c>
      <c r="G615" s="21" t="s">
        <v>1778</v>
      </c>
      <c r="H615" s="22" t="str" cm="1">
        <f t="array" ref="H615">Reverse2_6(O615)</f>
        <v>00-010201</v>
      </c>
      <c r="I615" s="45" cm="1">
        <f t="array" ref="I615">HEX2DEC(Reverse(P615))</f>
        <v>93631153</v>
      </c>
      <c r="J615" s="45" cm="1">
        <f t="array" ref="J615">IF(Q615&lt;&gt;0, HEX2DEC(Reverse(Q615))-$I615,"")</f>
        <v>30</v>
      </c>
      <c r="K615" s="45" cm="1">
        <f t="array" ref="K615">IF(R615&lt;&gt;0, HEX2DEC(Reverse(R615))-$I615,"")</f>
        <v>274</v>
      </c>
      <c r="L615" s="45" t="str" cm="1">
        <f t="array" ref="L615">IF(S615&lt;&gt;0, HEX2DEC(Reverse(S615))-$I615,"")</f>
        <v/>
      </c>
      <c r="M615" s="45" cm="1">
        <f t="array" ref="M615">IF(T615&lt;&gt;0, HEX2DEC(Reverse(T615))-$I615,"")</f>
        <v>269</v>
      </c>
      <c r="O615" s="3">
        <v>1020100</v>
      </c>
      <c r="P615" s="3" t="s">
        <v>114</v>
      </c>
      <c r="Q615" s="3" t="s">
        <v>921</v>
      </c>
      <c r="R615" s="3" t="s">
        <v>1552</v>
      </c>
      <c r="S615" s="3">
        <v>0</v>
      </c>
      <c r="T615" s="3" t="s">
        <v>1539</v>
      </c>
      <c r="U615" s="3"/>
      <c r="V615" s="4"/>
    </row>
    <row r="616" spans="1:22" x14ac:dyDescent="0.2">
      <c r="A616" s="20" t="s">
        <v>704</v>
      </c>
      <c r="B616" s="20">
        <v>3826</v>
      </c>
      <c r="C616" s="21" t="s">
        <v>1</v>
      </c>
      <c r="D616" s="21" t="s">
        <v>2</v>
      </c>
      <c r="E616" s="21" t="s">
        <v>90</v>
      </c>
      <c r="F616" s="21" t="s">
        <v>94</v>
      </c>
      <c r="G616" s="21" t="s">
        <v>1778</v>
      </c>
      <c r="H616" s="22" t="str" cm="1">
        <f t="array" ref="H616">Reverse2_6(O616)</f>
        <v>00-010201</v>
      </c>
      <c r="I616" s="45" cm="1">
        <f t="array" ref="I616">HEX2DEC(Reverse(P616))</f>
        <v>93631153</v>
      </c>
      <c r="J616" s="45" cm="1">
        <f t="array" ref="J616">IF(Q616&lt;&gt;0, HEX2DEC(Reverse(Q616))-$I616,"")</f>
        <v>30</v>
      </c>
      <c r="K616" s="45" cm="1">
        <f t="array" ref="K616">IF(R616&lt;&gt;0, HEX2DEC(Reverse(R616))-$I616,"")</f>
        <v>275</v>
      </c>
      <c r="L616" s="45" t="str" cm="1">
        <f t="array" ref="L616">IF(S616&lt;&gt;0, HEX2DEC(Reverse(S616))-$I616,"")</f>
        <v/>
      </c>
      <c r="M616" s="45" cm="1">
        <f t="array" ref="M616">IF(T616&lt;&gt;0, HEX2DEC(Reverse(T616))-$I616,"")</f>
        <v>270</v>
      </c>
      <c r="O616" s="3">
        <v>1020100</v>
      </c>
      <c r="P616" s="3" t="s">
        <v>114</v>
      </c>
      <c r="Q616" s="3" t="s">
        <v>921</v>
      </c>
      <c r="R616" s="3" t="s">
        <v>1554</v>
      </c>
      <c r="S616" s="3">
        <v>0</v>
      </c>
      <c r="T616" s="3" t="s">
        <v>1541</v>
      </c>
      <c r="U616" s="3"/>
      <c r="V616" s="4"/>
    </row>
    <row r="617" spans="1:22" x14ac:dyDescent="0.2">
      <c r="A617" s="16" t="s">
        <v>705</v>
      </c>
      <c r="B617" s="16">
        <v>3836</v>
      </c>
      <c r="C617" s="15" t="s">
        <v>2</v>
      </c>
      <c r="D617" s="15" t="s">
        <v>1</v>
      </c>
      <c r="E617" s="15" t="s">
        <v>92</v>
      </c>
      <c r="F617" s="15" t="s">
        <v>96</v>
      </c>
      <c r="G617" s="15"/>
      <c r="H617" s="17" t="str" cm="1">
        <f t="array" ref="H617">Reverse2_6(O617)</f>
        <v>00-010101</v>
      </c>
      <c r="I617" s="18" cm="1">
        <f t="array" ref="I617">HEX2DEC(Reverse(P617))</f>
        <v>93631153</v>
      </c>
      <c r="J617" s="18" cm="1">
        <f t="array" ref="J617">IF(Q617&lt;&gt;0, HEX2DEC(Reverse(Q617))-$I617,"")</f>
        <v>276</v>
      </c>
      <c r="K617" s="18" cm="1">
        <f t="array" ref="K617">IF(R617&lt;&gt;0, HEX2DEC(Reverse(R617))-$I617,"")</f>
        <v>29</v>
      </c>
      <c r="L617" s="18" cm="1">
        <f t="array" ref="L617">IF(S617&lt;&gt;0, HEX2DEC(Reverse(S617))-$I617,"")</f>
        <v>271</v>
      </c>
      <c r="M617" s="18" cm="1">
        <f t="array" ref="M617">IF(T617&lt;&gt;0, HEX2DEC(Reverse(T617))-$I617,"")</f>
        <v>29</v>
      </c>
      <c r="O617" s="3">
        <v>1010100</v>
      </c>
      <c r="P617" s="3" t="s">
        <v>114</v>
      </c>
      <c r="Q617" s="3" t="s">
        <v>1557</v>
      </c>
      <c r="R617" s="3" t="s">
        <v>918</v>
      </c>
      <c r="S617" s="3" t="s">
        <v>1544</v>
      </c>
      <c r="T617" s="3" t="s">
        <v>918</v>
      </c>
      <c r="U617" s="3">
        <v>31313131</v>
      </c>
      <c r="V617" s="4" t="s">
        <v>1558</v>
      </c>
    </row>
    <row r="618" spans="1:22" x14ac:dyDescent="0.2">
      <c r="A618" s="16" t="s">
        <v>706</v>
      </c>
      <c r="B618" s="16">
        <v>3837</v>
      </c>
      <c r="C618" s="15" t="s">
        <v>2</v>
      </c>
      <c r="D618" s="15" t="s">
        <v>1</v>
      </c>
      <c r="E618" s="15" t="s">
        <v>92</v>
      </c>
      <c r="F618" s="15" t="s">
        <v>900</v>
      </c>
      <c r="G618" s="15"/>
      <c r="H618" s="17" t="str" cm="1">
        <f t="array" ref="H618">Reverse2_6(O618)</f>
        <v>00-010101</v>
      </c>
      <c r="I618" s="18" cm="1">
        <f t="array" ref="I618">HEX2DEC(Reverse(P618))</f>
        <v>93631153</v>
      </c>
      <c r="J618" s="18" cm="1">
        <f t="array" ref="J618">IF(Q618&lt;&gt;0, HEX2DEC(Reverse(Q618))-$I618,"")</f>
        <v>277</v>
      </c>
      <c r="K618" s="18" cm="1">
        <f t="array" ref="K618">IF(R618&lt;&gt;0, HEX2DEC(Reverse(R618))-$I618,"")</f>
        <v>29</v>
      </c>
      <c r="L618" s="18" cm="1">
        <f t="array" ref="L618">IF(S618&lt;&gt;0, HEX2DEC(Reverse(S618))-$I618,"")</f>
        <v>272</v>
      </c>
      <c r="M618" s="18" cm="1">
        <f t="array" ref="M618">IF(T618&lt;&gt;0, HEX2DEC(Reverse(T618))-$I618,"")</f>
        <v>29</v>
      </c>
      <c r="O618" s="3">
        <v>1010100</v>
      </c>
      <c r="P618" s="3" t="s">
        <v>114</v>
      </c>
      <c r="Q618" s="3" t="s">
        <v>1559</v>
      </c>
      <c r="R618" s="3" t="s">
        <v>918</v>
      </c>
      <c r="S618" s="3" t="s">
        <v>1546</v>
      </c>
      <c r="T618" s="3" t="s">
        <v>918</v>
      </c>
      <c r="U618" s="3" t="s">
        <v>1560</v>
      </c>
      <c r="V618" s="4" t="s">
        <v>1561</v>
      </c>
    </row>
    <row r="619" spans="1:22" x14ac:dyDescent="0.2">
      <c r="A619" s="20" t="s">
        <v>707</v>
      </c>
      <c r="B619" s="20">
        <v>3838</v>
      </c>
      <c r="C619" s="21" t="s">
        <v>1</v>
      </c>
      <c r="D619" s="21" t="s">
        <v>2</v>
      </c>
      <c r="E619" s="21" t="s">
        <v>90</v>
      </c>
      <c r="F619" s="21" t="s">
        <v>94</v>
      </c>
      <c r="G619" s="21" t="s">
        <v>1778</v>
      </c>
      <c r="H619" s="22" t="str" cm="1">
        <f t="array" ref="H619">Reverse2_6(O619)</f>
        <v>00-010201</v>
      </c>
      <c r="I619" s="45" cm="1">
        <f t="array" ref="I619">HEX2DEC(Reverse(P619))</f>
        <v>93631153</v>
      </c>
      <c r="J619" s="45" cm="1">
        <f t="array" ref="J619">IF(Q619&lt;&gt;0, HEX2DEC(Reverse(Q619))-$I619,"")</f>
        <v>30</v>
      </c>
      <c r="K619" s="45" cm="1">
        <f t="array" ref="K619">IF(R619&lt;&gt;0, HEX2DEC(Reverse(R619))-$I619,"")</f>
        <v>276</v>
      </c>
      <c r="L619" s="45" t="str" cm="1">
        <f t="array" ref="L619">IF(S619&lt;&gt;0, HEX2DEC(Reverse(S619))-$I619,"")</f>
        <v/>
      </c>
      <c r="M619" s="45" cm="1">
        <f t="array" ref="M619">IF(T619&lt;&gt;0, HEX2DEC(Reverse(T619))-$I619,"")</f>
        <v>271</v>
      </c>
      <c r="O619" s="3">
        <v>1020100</v>
      </c>
      <c r="P619" s="3" t="s">
        <v>114</v>
      </c>
      <c r="Q619" s="3" t="s">
        <v>921</v>
      </c>
      <c r="R619" s="3" t="s">
        <v>1557</v>
      </c>
      <c r="S619" s="3">
        <v>0</v>
      </c>
      <c r="T619" s="3" t="s">
        <v>1544</v>
      </c>
      <c r="U619" s="3"/>
      <c r="V619" s="4"/>
    </row>
    <row r="620" spans="1:22" x14ac:dyDescent="0.2">
      <c r="A620" s="20" t="s">
        <v>708</v>
      </c>
      <c r="B620" s="20">
        <v>3839</v>
      </c>
      <c r="C620" s="21" t="s">
        <v>1</v>
      </c>
      <c r="D620" s="21" t="s">
        <v>2</v>
      </c>
      <c r="E620" s="21" t="s">
        <v>90</v>
      </c>
      <c r="F620" s="21" t="s">
        <v>94</v>
      </c>
      <c r="G620" s="21" t="s">
        <v>1778</v>
      </c>
      <c r="H620" s="22" t="str" cm="1">
        <f t="array" ref="H620">Reverse2_6(O620)</f>
        <v>00-010201</v>
      </c>
      <c r="I620" s="45" cm="1">
        <f t="array" ref="I620">HEX2DEC(Reverse(P620))</f>
        <v>93631153</v>
      </c>
      <c r="J620" s="45" cm="1">
        <f t="array" ref="J620">IF(Q620&lt;&gt;0, HEX2DEC(Reverse(Q620))-$I620,"")</f>
        <v>30</v>
      </c>
      <c r="K620" s="45" cm="1">
        <f t="array" ref="K620">IF(R620&lt;&gt;0, HEX2DEC(Reverse(R620))-$I620,"")</f>
        <v>277</v>
      </c>
      <c r="L620" s="45" t="str" cm="1">
        <f t="array" ref="L620">IF(S620&lt;&gt;0, HEX2DEC(Reverse(S620))-$I620,"")</f>
        <v/>
      </c>
      <c r="M620" s="45" cm="1">
        <f t="array" ref="M620">IF(T620&lt;&gt;0, HEX2DEC(Reverse(T620))-$I620,"")</f>
        <v>272</v>
      </c>
      <c r="O620" s="3">
        <v>1020100</v>
      </c>
      <c r="P620" s="3" t="s">
        <v>114</v>
      </c>
      <c r="Q620" s="3" t="s">
        <v>921</v>
      </c>
      <c r="R620" s="3" t="s">
        <v>1559</v>
      </c>
      <c r="S620" s="3">
        <v>0</v>
      </c>
      <c r="T620" s="3" t="s">
        <v>1546</v>
      </c>
      <c r="U620" s="3"/>
      <c r="V620" s="4"/>
    </row>
    <row r="621" spans="1:22" x14ac:dyDescent="0.2">
      <c r="A621" s="16" t="s">
        <v>709</v>
      </c>
      <c r="B621" s="16">
        <v>3844</v>
      </c>
      <c r="C621" s="15" t="s">
        <v>2</v>
      </c>
      <c r="D621" s="15" t="s">
        <v>1</v>
      </c>
      <c r="E621" s="15" t="s">
        <v>92</v>
      </c>
      <c r="F621" s="15" t="s">
        <v>96</v>
      </c>
      <c r="G621" s="15"/>
      <c r="H621" s="17" t="str" cm="1">
        <f t="array" ref="H621">Reverse2_6(O621)</f>
        <v>00-010101</v>
      </c>
      <c r="I621" s="18" cm="1">
        <f t="array" ref="I621">HEX2DEC(Reverse(P621))</f>
        <v>93631153</v>
      </c>
      <c r="J621" s="18" cm="1">
        <f t="array" ref="J621">IF(Q621&lt;&gt;0, HEX2DEC(Reverse(Q621))-$I621,"")</f>
        <v>278</v>
      </c>
      <c r="K621" s="18" cm="1">
        <f t="array" ref="K621">IF(R621&lt;&gt;0, HEX2DEC(Reverse(R621))-$I621,"")</f>
        <v>29</v>
      </c>
      <c r="L621" s="18" cm="1">
        <f t="array" ref="L621">IF(S621&lt;&gt;0, HEX2DEC(Reverse(S621))-$I621,"")</f>
        <v>273</v>
      </c>
      <c r="M621" s="18" cm="1">
        <f t="array" ref="M621">IF(T621&lt;&gt;0, HEX2DEC(Reverse(T621))-$I621,"")</f>
        <v>29</v>
      </c>
      <c r="O621" s="3">
        <v>1010100</v>
      </c>
      <c r="P621" s="3" t="s">
        <v>114</v>
      </c>
      <c r="Q621" s="3" t="s">
        <v>1562</v>
      </c>
      <c r="R621" s="3" t="s">
        <v>918</v>
      </c>
      <c r="S621" s="3" t="s">
        <v>1549</v>
      </c>
      <c r="T621" s="3" t="s">
        <v>918</v>
      </c>
      <c r="U621" s="3">
        <v>31313131</v>
      </c>
      <c r="V621" s="4" t="s">
        <v>1563</v>
      </c>
    </row>
    <row r="622" spans="1:22" x14ac:dyDescent="0.2">
      <c r="A622" s="16" t="s">
        <v>710</v>
      </c>
      <c r="B622" s="16">
        <v>3845</v>
      </c>
      <c r="C622" s="15" t="s">
        <v>2</v>
      </c>
      <c r="D622" s="15" t="s">
        <v>1</v>
      </c>
      <c r="E622" s="15" t="s">
        <v>92</v>
      </c>
      <c r="F622" s="15" t="s">
        <v>96</v>
      </c>
      <c r="G622" s="15"/>
      <c r="H622" s="17" t="str" cm="1">
        <f t="array" ref="H622">Reverse2_6(O622)</f>
        <v>00-010101</v>
      </c>
      <c r="I622" s="18" cm="1">
        <f t="array" ref="I622">HEX2DEC(Reverse(P622))</f>
        <v>93631153</v>
      </c>
      <c r="J622" s="18" cm="1">
        <f t="array" ref="J622">IF(Q622&lt;&gt;0, HEX2DEC(Reverse(Q622))-$I622,"")</f>
        <v>279</v>
      </c>
      <c r="K622" s="18" cm="1">
        <f t="array" ref="K622">IF(R622&lt;&gt;0, HEX2DEC(Reverse(R622))-$I622,"")</f>
        <v>29</v>
      </c>
      <c r="L622" s="18" cm="1">
        <f t="array" ref="L622">IF(S622&lt;&gt;0, HEX2DEC(Reverse(S622))-$I622,"")</f>
        <v>274</v>
      </c>
      <c r="M622" s="18" cm="1">
        <f t="array" ref="M622">IF(T622&lt;&gt;0, HEX2DEC(Reverse(T622))-$I622,"")</f>
        <v>29</v>
      </c>
      <c r="O622" s="3">
        <v>1010100</v>
      </c>
      <c r="P622" s="3" t="s">
        <v>114</v>
      </c>
      <c r="Q622" s="3" t="s">
        <v>1564</v>
      </c>
      <c r="R622" s="3" t="s">
        <v>918</v>
      </c>
      <c r="S622" s="3" t="s">
        <v>1552</v>
      </c>
      <c r="T622" s="3" t="s">
        <v>918</v>
      </c>
      <c r="U622" s="3" t="s">
        <v>1565</v>
      </c>
      <c r="V622" s="4" t="s">
        <v>1566</v>
      </c>
    </row>
    <row r="623" spans="1:22" x14ac:dyDescent="0.2">
      <c r="A623" s="16" t="s">
        <v>711</v>
      </c>
      <c r="B623" s="16">
        <v>3846</v>
      </c>
      <c r="C623" s="15" t="s">
        <v>2</v>
      </c>
      <c r="D623" s="15" t="s">
        <v>1</v>
      </c>
      <c r="E623" s="15" t="s">
        <v>92</v>
      </c>
      <c r="F623" s="15" t="s">
        <v>96</v>
      </c>
      <c r="G623" s="15"/>
      <c r="H623" s="17" t="str" cm="1">
        <f t="array" ref="H623">Reverse2_6(O623)</f>
        <v>00-010101</v>
      </c>
      <c r="I623" s="18" cm="1">
        <f t="array" ref="I623">HEX2DEC(Reverse(P623))</f>
        <v>93631153</v>
      </c>
      <c r="J623" s="18" cm="1">
        <f t="array" ref="J623">IF(Q623&lt;&gt;0, HEX2DEC(Reverse(Q623))-$I623,"")</f>
        <v>280</v>
      </c>
      <c r="K623" s="18" cm="1">
        <f t="array" ref="K623">IF(R623&lt;&gt;0, HEX2DEC(Reverse(R623))-$I623,"")</f>
        <v>29</v>
      </c>
      <c r="L623" s="18" cm="1">
        <f t="array" ref="L623">IF(S623&lt;&gt;0, HEX2DEC(Reverse(S623))-$I623,"")</f>
        <v>275</v>
      </c>
      <c r="M623" s="18" cm="1">
        <f t="array" ref="M623">IF(T623&lt;&gt;0, HEX2DEC(Reverse(T623))-$I623,"")</f>
        <v>29</v>
      </c>
      <c r="O623" s="3">
        <v>1010100</v>
      </c>
      <c r="P623" s="3" t="s">
        <v>114</v>
      </c>
      <c r="Q623" s="3" t="s">
        <v>1567</v>
      </c>
      <c r="R623" s="3" t="s">
        <v>918</v>
      </c>
      <c r="S623" s="3" t="s">
        <v>1554</v>
      </c>
      <c r="T623" s="3" t="s">
        <v>918</v>
      </c>
      <c r="U623" s="3" t="s">
        <v>1568</v>
      </c>
      <c r="V623" s="4" t="s">
        <v>1569</v>
      </c>
    </row>
    <row r="624" spans="1:22" x14ac:dyDescent="0.2">
      <c r="A624" s="16" t="s">
        <v>712</v>
      </c>
      <c r="B624" s="16">
        <v>3847</v>
      </c>
      <c r="C624" s="15" t="s">
        <v>2</v>
      </c>
      <c r="D624" s="15" t="s">
        <v>1</v>
      </c>
      <c r="E624" s="15" t="s">
        <v>92</v>
      </c>
      <c r="F624" s="15" t="s">
        <v>901</v>
      </c>
      <c r="G624" s="15"/>
      <c r="H624" s="17" t="str" cm="1">
        <f t="array" ref="H624">Reverse2_6(O624)</f>
        <v>00-010101</v>
      </c>
      <c r="I624" s="18" cm="1">
        <f t="array" ref="I624">HEX2DEC(Reverse(P624))</f>
        <v>93631153</v>
      </c>
      <c r="J624" s="18" cm="1">
        <f t="array" ref="J624">IF(Q624&lt;&gt;0, HEX2DEC(Reverse(Q624))-$I624,"")</f>
        <v>281</v>
      </c>
      <c r="K624" s="18" cm="1">
        <f t="array" ref="K624">IF(R624&lt;&gt;0, HEX2DEC(Reverse(R624))-$I624,"")</f>
        <v>29</v>
      </c>
      <c r="L624" s="18" cm="1">
        <f t="array" ref="L624">IF(S624&lt;&gt;0, HEX2DEC(Reverse(S624))-$I624,"")</f>
        <v>276</v>
      </c>
      <c r="M624" s="18" cm="1">
        <f t="array" ref="M624">IF(T624&lt;&gt;0, HEX2DEC(Reverse(T624))-$I624,"")</f>
        <v>29</v>
      </c>
      <c r="O624" s="3">
        <v>1010100</v>
      </c>
      <c r="P624" s="3" t="s">
        <v>114</v>
      </c>
      <c r="Q624" s="3" t="s">
        <v>1570</v>
      </c>
      <c r="R624" s="3" t="s">
        <v>918</v>
      </c>
      <c r="S624" s="3" t="s">
        <v>1557</v>
      </c>
      <c r="T624" s="3" t="s">
        <v>918</v>
      </c>
      <c r="U624" s="3" t="s">
        <v>1571</v>
      </c>
      <c r="V624" s="4" t="s">
        <v>1572</v>
      </c>
    </row>
    <row r="625" spans="1:22" x14ac:dyDescent="0.2">
      <c r="A625" s="20" t="s">
        <v>713</v>
      </c>
      <c r="B625" s="20">
        <v>3848</v>
      </c>
      <c r="C625" s="21" t="s">
        <v>1</v>
      </c>
      <c r="D625" s="21" t="s">
        <v>2</v>
      </c>
      <c r="E625" s="21" t="s">
        <v>90</v>
      </c>
      <c r="F625" s="21" t="s">
        <v>94</v>
      </c>
      <c r="G625" s="21" t="s">
        <v>1778</v>
      </c>
      <c r="H625" s="22" t="str" cm="1">
        <f t="array" ref="H625">Reverse2_6(O625)</f>
        <v>00-010201</v>
      </c>
      <c r="I625" s="45" cm="1">
        <f t="array" ref="I625">HEX2DEC(Reverse(P625))</f>
        <v>93631153</v>
      </c>
      <c r="J625" s="45" cm="1">
        <f t="array" ref="J625">IF(Q625&lt;&gt;0, HEX2DEC(Reverse(Q625))-$I625,"")</f>
        <v>30</v>
      </c>
      <c r="K625" s="45" cm="1">
        <f t="array" ref="K625">IF(R625&lt;&gt;0, HEX2DEC(Reverse(R625))-$I625,"")</f>
        <v>278</v>
      </c>
      <c r="L625" s="45" t="str" cm="1">
        <f t="array" ref="L625">IF(S625&lt;&gt;0, HEX2DEC(Reverse(S625))-$I625,"")</f>
        <v/>
      </c>
      <c r="M625" s="45" cm="1">
        <f t="array" ref="M625">IF(T625&lt;&gt;0, HEX2DEC(Reverse(T625))-$I625,"")</f>
        <v>273</v>
      </c>
      <c r="O625" s="3">
        <v>1020100</v>
      </c>
      <c r="P625" s="3" t="s">
        <v>114</v>
      </c>
      <c r="Q625" s="3" t="s">
        <v>921</v>
      </c>
      <c r="R625" s="3" t="s">
        <v>1562</v>
      </c>
      <c r="S625" s="3">
        <v>0</v>
      </c>
      <c r="T625" s="3" t="s">
        <v>1549</v>
      </c>
      <c r="U625" s="3"/>
      <c r="V625" s="4"/>
    </row>
    <row r="626" spans="1:22" x14ac:dyDescent="0.2">
      <c r="A626" s="20" t="s">
        <v>714</v>
      </c>
      <c r="B626" s="20">
        <v>3849</v>
      </c>
      <c r="C626" s="21" t="s">
        <v>1</v>
      </c>
      <c r="D626" s="21" t="s">
        <v>2</v>
      </c>
      <c r="E626" s="21" t="s">
        <v>90</v>
      </c>
      <c r="F626" s="21" t="s">
        <v>94</v>
      </c>
      <c r="G626" s="21" t="s">
        <v>1778</v>
      </c>
      <c r="H626" s="22" t="str" cm="1">
        <f t="array" ref="H626">Reverse2_6(O626)</f>
        <v>00-010201</v>
      </c>
      <c r="I626" s="45" cm="1">
        <f t="array" ref="I626">HEX2DEC(Reverse(P626))</f>
        <v>93631153</v>
      </c>
      <c r="J626" s="45" cm="1">
        <f t="array" ref="J626">IF(Q626&lt;&gt;0, HEX2DEC(Reverse(Q626))-$I626,"")</f>
        <v>30</v>
      </c>
      <c r="K626" s="45" cm="1">
        <f t="array" ref="K626">IF(R626&lt;&gt;0, HEX2DEC(Reverse(R626))-$I626,"")</f>
        <v>279</v>
      </c>
      <c r="L626" s="45" t="str" cm="1">
        <f t="array" ref="L626">IF(S626&lt;&gt;0, HEX2DEC(Reverse(S626))-$I626,"")</f>
        <v/>
      </c>
      <c r="M626" s="45" cm="1">
        <f t="array" ref="M626">IF(T626&lt;&gt;0, HEX2DEC(Reverse(T626))-$I626,"")</f>
        <v>274</v>
      </c>
      <c r="O626" s="3">
        <v>1020100</v>
      </c>
      <c r="P626" s="3" t="s">
        <v>114</v>
      </c>
      <c r="Q626" s="3" t="s">
        <v>921</v>
      </c>
      <c r="R626" s="3" t="s">
        <v>1564</v>
      </c>
      <c r="S626" s="3">
        <v>0</v>
      </c>
      <c r="T626" s="3" t="s">
        <v>1552</v>
      </c>
      <c r="U626" s="3"/>
      <c r="V626" s="4"/>
    </row>
    <row r="627" spans="1:22" x14ac:dyDescent="0.2">
      <c r="A627" s="20" t="s">
        <v>715</v>
      </c>
      <c r="B627" s="20">
        <v>3850</v>
      </c>
      <c r="C627" s="21" t="s">
        <v>1</v>
      </c>
      <c r="D627" s="21" t="s">
        <v>2</v>
      </c>
      <c r="E627" s="21" t="s">
        <v>90</v>
      </c>
      <c r="F627" s="21" t="s">
        <v>94</v>
      </c>
      <c r="G627" s="21" t="s">
        <v>1778</v>
      </c>
      <c r="H627" s="22" t="str" cm="1">
        <f t="array" ref="H627">Reverse2_6(O627)</f>
        <v>00-010201</v>
      </c>
      <c r="I627" s="45" cm="1">
        <f t="array" ref="I627">HEX2DEC(Reverse(P627))</f>
        <v>93631153</v>
      </c>
      <c r="J627" s="45" cm="1">
        <f t="array" ref="J627">IF(Q627&lt;&gt;0, HEX2DEC(Reverse(Q627))-$I627,"")</f>
        <v>30</v>
      </c>
      <c r="K627" s="45" cm="1">
        <f t="array" ref="K627">IF(R627&lt;&gt;0, HEX2DEC(Reverse(R627))-$I627,"")</f>
        <v>280</v>
      </c>
      <c r="L627" s="45" t="str" cm="1">
        <f t="array" ref="L627">IF(S627&lt;&gt;0, HEX2DEC(Reverse(S627))-$I627,"")</f>
        <v/>
      </c>
      <c r="M627" s="45" cm="1">
        <f t="array" ref="M627">IF(T627&lt;&gt;0, HEX2DEC(Reverse(T627))-$I627,"")</f>
        <v>275</v>
      </c>
      <c r="O627" s="3">
        <v>1020100</v>
      </c>
      <c r="P627" s="3" t="s">
        <v>114</v>
      </c>
      <c r="Q627" s="3" t="s">
        <v>921</v>
      </c>
      <c r="R627" s="3" t="s">
        <v>1567</v>
      </c>
      <c r="S627" s="3">
        <v>0</v>
      </c>
      <c r="T627" s="3" t="s">
        <v>1554</v>
      </c>
      <c r="U627" s="3"/>
      <c r="V627" s="4"/>
    </row>
    <row r="628" spans="1:22" x14ac:dyDescent="0.2">
      <c r="A628" s="20" t="s">
        <v>716</v>
      </c>
      <c r="B628" s="20">
        <v>3851</v>
      </c>
      <c r="C628" s="21" t="s">
        <v>1</v>
      </c>
      <c r="D628" s="21" t="s">
        <v>2</v>
      </c>
      <c r="E628" s="21" t="s">
        <v>90</v>
      </c>
      <c r="F628" s="21" t="s">
        <v>94</v>
      </c>
      <c r="G628" s="21" t="s">
        <v>1778</v>
      </c>
      <c r="H628" s="22" t="str" cm="1">
        <f t="array" ref="H628">Reverse2_6(O628)</f>
        <v>00-010201</v>
      </c>
      <c r="I628" s="45" cm="1">
        <f t="array" ref="I628">HEX2DEC(Reverse(P628))</f>
        <v>93631153</v>
      </c>
      <c r="J628" s="45" cm="1">
        <f t="array" ref="J628">IF(Q628&lt;&gt;0, HEX2DEC(Reverse(Q628))-$I628,"")</f>
        <v>30</v>
      </c>
      <c r="K628" s="45" cm="1">
        <f t="array" ref="K628">IF(R628&lt;&gt;0, HEX2DEC(Reverse(R628))-$I628,"")</f>
        <v>281</v>
      </c>
      <c r="L628" s="45" t="str" cm="1">
        <f t="array" ref="L628">IF(S628&lt;&gt;0, HEX2DEC(Reverse(S628))-$I628,"")</f>
        <v/>
      </c>
      <c r="M628" s="45" cm="1">
        <f t="array" ref="M628">IF(T628&lt;&gt;0, HEX2DEC(Reverse(T628))-$I628,"")</f>
        <v>276</v>
      </c>
      <c r="O628" s="3">
        <v>1020100</v>
      </c>
      <c r="P628" s="3" t="s">
        <v>114</v>
      </c>
      <c r="Q628" s="3" t="s">
        <v>921</v>
      </c>
      <c r="R628" s="3" t="s">
        <v>1570</v>
      </c>
      <c r="S628" s="3">
        <v>0</v>
      </c>
      <c r="T628" s="3" t="s">
        <v>1557</v>
      </c>
      <c r="U628" s="3"/>
      <c r="V628" s="4"/>
    </row>
    <row r="629" spans="1:22" x14ac:dyDescent="0.2">
      <c r="A629" s="16" t="s">
        <v>717</v>
      </c>
      <c r="B629" s="16">
        <v>3858</v>
      </c>
      <c r="C629" s="15" t="s">
        <v>2</v>
      </c>
      <c r="D629" s="15" t="s">
        <v>1</v>
      </c>
      <c r="E629" s="15" t="s">
        <v>92</v>
      </c>
      <c r="F629" s="15" t="s">
        <v>96</v>
      </c>
      <c r="G629" s="15"/>
      <c r="H629" s="17" t="str" cm="1">
        <f t="array" ref="H629">Reverse2_6(O629)</f>
        <v>00-010101</v>
      </c>
      <c r="I629" s="18" cm="1">
        <f t="array" ref="I629">HEX2DEC(Reverse(P629))</f>
        <v>93631153</v>
      </c>
      <c r="J629" s="18" cm="1">
        <f t="array" ref="J629">IF(Q629&lt;&gt;0, HEX2DEC(Reverse(Q629))-$I629,"")</f>
        <v>282</v>
      </c>
      <c r="K629" s="18" cm="1">
        <f t="array" ref="K629">IF(R629&lt;&gt;0, HEX2DEC(Reverse(R629))-$I629,"")</f>
        <v>29</v>
      </c>
      <c r="L629" s="18" cm="1">
        <f t="array" ref="L629">IF(S629&lt;&gt;0, HEX2DEC(Reverse(S629))-$I629,"")</f>
        <v>277</v>
      </c>
      <c r="M629" s="18" cm="1">
        <f t="array" ref="M629">IF(T629&lt;&gt;0, HEX2DEC(Reverse(T629))-$I629,"")</f>
        <v>29</v>
      </c>
      <c r="O629" s="3">
        <v>1010100</v>
      </c>
      <c r="P629" s="3" t="s">
        <v>114</v>
      </c>
      <c r="Q629" s="3" t="s">
        <v>1573</v>
      </c>
      <c r="R629" s="3" t="s">
        <v>918</v>
      </c>
      <c r="S629" s="3" t="s">
        <v>1559</v>
      </c>
      <c r="T629" s="3" t="s">
        <v>918</v>
      </c>
      <c r="U629" s="3">
        <v>31313131</v>
      </c>
      <c r="V629" s="4" t="s">
        <v>151</v>
      </c>
    </row>
    <row r="630" spans="1:22" x14ac:dyDescent="0.2">
      <c r="A630" s="16" t="s">
        <v>718</v>
      </c>
      <c r="B630" s="16">
        <v>3859</v>
      </c>
      <c r="C630" s="15" t="s">
        <v>2</v>
      </c>
      <c r="D630" s="15" t="s">
        <v>1</v>
      </c>
      <c r="E630" s="15" t="s">
        <v>92</v>
      </c>
      <c r="F630" s="15" t="s">
        <v>902</v>
      </c>
      <c r="G630" s="15"/>
      <c r="H630" s="17" t="str" cm="1">
        <f t="array" ref="H630">Reverse2_6(O630)</f>
        <v>00-010101</v>
      </c>
      <c r="I630" s="18" cm="1">
        <f t="array" ref="I630">HEX2DEC(Reverse(P630))</f>
        <v>93631153</v>
      </c>
      <c r="J630" s="18" cm="1">
        <f t="array" ref="J630">IF(Q630&lt;&gt;0, HEX2DEC(Reverse(Q630))-$I630,"")</f>
        <v>283</v>
      </c>
      <c r="K630" s="18" cm="1">
        <f t="array" ref="K630">IF(R630&lt;&gt;0, HEX2DEC(Reverse(R630))-$I630,"")</f>
        <v>29</v>
      </c>
      <c r="L630" s="18" cm="1">
        <f t="array" ref="L630">IF(S630&lt;&gt;0, HEX2DEC(Reverse(S630))-$I630,"")</f>
        <v>278</v>
      </c>
      <c r="M630" s="18" cm="1">
        <f t="array" ref="M630">IF(T630&lt;&gt;0, HEX2DEC(Reverse(T630))-$I630,"")</f>
        <v>29</v>
      </c>
      <c r="O630" s="3">
        <v>1010100</v>
      </c>
      <c r="P630" s="3" t="s">
        <v>114</v>
      </c>
      <c r="Q630" s="3" t="s">
        <v>1574</v>
      </c>
      <c r="R630" s="3" t="s">
        <v>918</v>
      </c>
      <c r="S630" s="3" t="s">
        <v>1562</v>
      </c>
      <c r="T630" s="3" t="s">
        <v>918</v>
      </c>
      <c r="U630" s="3" t="s">
        <v>1575</v>
      </c>
      <c r="V630" s="4" t="s">
        <v>1576</v>
      </c>
    </row>
    <row r="631" spans="1:22" x14ac:dyDescent="0.2">
      <c r="A631" s="20" t="s">
        <v>719</v>
      </c>
      <c r="B631" s="20">
        <v>3862</v>
      </c>
      <c r="C631" s="21" t="s">
        <v>1</v>
      </c>
      <c r="D631" s="21" t="s">
        <v>2</v>
      </c>
      <c r="E631" s="21" t="s">
        <v>90</v>
      </c>
      <c r="F631" s="21" t="s">
        <v>94</v>
      </c>
      <c r="G631" s="21" t="s">
        <v>1778</v>
      </c>
      <c r="H631" s="22" t="str" cm="1">
        <f t="array" ref="H631">Reverse2_6(O631)</f>
        <v>00-010201</v>
      </c>
      <c r="I631" s="45" cm="1">
        <f t="array" ref="I631">HEX2DEC(Reverse(P631))</f>
        <v>93631153</v>
      </c>
      <c r="J631" s="45" cm="1">
        <f t="array" ref="J631">IF(Q631&lt;&gt;0, HEX2DEC(Reverse(Q631))-$I631,"")</f>
        <v>30</v>
      </c>
      <c r="K631" s="45" cm="1">
        <f t="array" ref="K631">IF(R631&lt;&gt;0, HEX2DEC(Reverse(R631))-$I631,"")</f>
        <v>282</v>
      </c>
      <c r="L631" s="45" t="str" cm="1">
        <f t="array" ref="L631">IF(S631&lt;&gt;0, HEX2DEC(Reverse(S631))-$I631,"")</f>
        <v/>
      </c>
      <c r="M631" s="45" cm="1">
        <f t="array" ref="M631">IF(T631&lt;&gt;0, HEX2DEC(Reverse(T631))-$I631,"")</f>
        <v>277</v>
      </c>
      <c r="O631" s="3">
        <v>1020100</v>
      </c>
      <c r="P631" s="3" t="s">
        <v>114</v>
      </c>
      <c r="Q631" s="3" t="s">
        <v>921</v>
      </c>
      <c r="R631" s="3" t="s">
        <v>1573</v>
      </c>
      <c r="S631" s="3">
        <v>0</v>
      </c>
      <c r="T631" s="3" t="s">
        <v>1559</v>
      </c>
      <c r="U631" s="3"/>
      <c r="V631" s="4"/>
    </row>
    <row r="632" spans="1:22" x14ac:dyDescent="0.2">
      <c r="A632" s="20" t="s">
        <v>720</v>
      </c>
      <c r="B632" s="20">
        <v>3863</v>
      </c>
      <c r="C632" s="21" t="s">
        <v>1</v>
      </c>
      <c r="D632" s="21" t="s">
        <v>2</v>
      </c>
      <c r="E632" s="21" t="s">
        <v>90</v>
      </c>
      <c r="F632" s="21" t="s">
        <v>94</v>
      </c>
      <c r="G632" s="21" t="s">
        <v>1778</v>
      </c>
      <c r="H632" s="22" t="str" cm="1">
        <f t="array" ref="H632">Reverse2_6(O632)</f>
        <v>00-010201</v>
      </c>
      <c r="I632" s="45" cm="1">
        <f t="array" ref="I632">HEX2DEC(Reverse(P632))</f>
        <v>93631153</v>
      </c>
      <c r="J632" s="45" cm="1">
        <f t="array" ref="J632">IF(Q632&lt;&gt;0, HEX2DEC(Reverse(Q632))-$I632,"")</f>
        <v>30</v>
      </c>
      <c r="K632" s="45" cm="1">
        <f t="array" ref="K632">IF(R632&lt;&gt;0, HEX2DEC(Reverse(R632))-$I632,"")</f>
        <v>283</v>
      </c>
      <c r="L632" s="45" t="str" cm="1">
        <f t="array" ref="L632">IF(S632&lt;&gt;0, HEX2DEC(Reverse(S632))-$I632,"")</f>
        <v/>
      </c>
      <c r="M632" s="45" cm="1">
        <f t="array" ref="M632">IF(T632&lt;&gt;0, HEX2DEC(Reverse(T632))-$I632,"")</f>
        <v>278</v>
      </c>
      <c r="O632" s="3">
        <v>1020100</v>
      </c>
      <c r="P632" s="3" t="s">
        <v>114</v>
      </c>
      <c r="Q632" s="3" t="s">
        <v>921</v>
      </c>
      <c r="R632" s="3" t="s">
        <v>1574</v>
      </c>
      <c r="S632" s="3">
        <v>0</v>
      </c>
      <c r="T632" s="3" t="s">
        <v>1562</v>
      </c>
      <c r="U632" s="3"/>
      <c r="V632" s="4"/>
    </row>
    <row r="633" spans="1:22" x14ac:dyDescent="0.2">
      <c r="A633" s="16" t="s">
        <v>721</v>
      </c>
      <c r="B633" s="16">
        <v>3868</v>
      </c>
      <c r="C633" s="15" t="s">
        <v>2</v>
      </c>
      <c r="D633" s="15" t="s">
        <v>1</v>
      </c>
      <c r="E633" s="15" t="s">
        <v>92</v>
      </c>
      <c r="F633" s="15" t="s">
        <v>96</v>
      </c>
      <c r="G633" s="15"/>
      <c r="H633" s="17" t="str" cm="1">
        <f t="array" ref="H633">Reverse2_6(O633)</f>
        <v>00-010101</v>
      </c>
      <c r="I633" s="18" cm="1">
        <f t="array" ref="I633">HEX2DEC(Reverse(P633))</f>
        <v>93631153</v>
      </c>
      <c r="J633" s="18" cm="1">
        <f t="array" ref="J633">IF(Q633&lt;&gt;0, HEX2DEC(Reverse(Q633))-$I633,"")</f>
        <v>284</v>
      </c>
      <c r="K633" s="18" cm="1">
        <f t="array" ref="K633">IF(R633&lt;&gt;0, HEX2DEC(Reverse(R633))-$I633,"")</f>
        <v>30</v>
      </c>
      <c r="L633" s="18" cm="1">
        <f t="array" ref="L633">IF(S633&lt;&gt;0, HEX2DEC(Reverse(S633))-$I633,"")</f>
        <v>262</v>
      </c>
      <c r="M633" s="18" cm="1">
        <f t="array" ref="M633">IF(T633&lt;&gt;0, HEX2DEC(Reverse(T633))-$I633,"")</f>
        <v>30</v>
      </c>
      <c r="O633" s="3">
        <v>1010100</v>
      </c>
      <c r="P633" s="3" t="s">
        <v>114</v>
      </c>
      <c r="Q633" s="3" t="s">
        <v>1577</v>
      </c>
      <c r="R633" s="12" t="s">
        <v>921</v>
      </c>
      <c r="S633" s="3" t="s">
        <v>1520</v>
      </c>
      <c r="T633" s="12" t="s">
        <v>921</v>
      </c>
      <c r="U633" s="3">
        <v>31313131</v>
      </c>
      <c r="V633" s="4" t="s">
        <v>1535</v>
      </c>
    </row>
    <row r="634" spans="1:22" x14ac:dyDescent="0.2">
      <c r="A634" s="16" t="s">
        <v>722</v>
      </c>
      <c r="B634" s="16">
        <v>3869</v>
      </c>
      <c r="C634" s="15" t="s">
        <v>2</v>
      </c>
      <c r="D634" s="15" t="s">
        <v>1</v>
      </c>
      <c r="E634" s="15" t="s">
        <v>92</v>
      </c>
      <c r="F634" s="15" t="s">
        <v>897</v>
      </c>
      <c r="G634" s="15"/>
      <c r="H634" s="17" t="str" cm="1">
        <f t="array" ref="H634">Reverse2_6(O634)</f>
        <v>00-010101</v>
      </c>
      <c r="I634" s="18" cm="1">
        <f t="array" ref="I634">HEX2DEC(Reverse(P634))</f>
        <v>93631153</v>
      </c>
      <c r="J634" s="18" cm="1">
        <f t="array" ref="J634">IF(Q634&lt;&gt;0, HEX2DEC(Reverse(Q634))-$I634,"")</f>
        <v>285</v>
      </c>
      <c r="K634" s="18" cm="1">
        <f t="array" ref="K634">IF(R634&lt;&gt;0, HEX2DEC(Reverse(R634))-$I634,"")</f>
        <v>30</v>
      </c>
      <c r="L634" s="18" cm="1">
        <f t="array" ref="L634">IF(S634&lt;&gt;0, HEX2DEC(Reverse(S634))-$I634,"")</f>
        <v>263</v>
      </c>
      <c r="M634" s="18" cm="1">
        <f t="array" ref="M634">IF(T634&lt;&gt;0, HEX2DEC(Reverse(T634))-$I634,"")</f>
        <v>30</v>
      </c>
      <c r="O634" s="3">
        <v>1010100</v>
      </c>
      <c r="P634" s="3" t="s">
        <v>114</v>
      </c>
      <c r="Q634" s="3" t="s">
        <v>1578</v>
      </c>
      <c r="R634" s="12" t="s">
        <v>921</v>
      </c>
      <c r="S634" s="3" t="s">
        <v>1523</v>
      </c>
      <c r="T634" s="12" t="s">
        <v>921</v>
      </c>
      <c r="U634" s="3" t="s">
        <v>1537</v>
      </c>
      <c r="V634" s="4" t="s">
        <v>1538</v>
      </c>
    </row>
    <row r="635" spans="1:22" x14ac:dyDescent="0.2">
      <c r="A635" s="20" t="s">
        <v>723</v>
      </c>
      <c r="B635" s="20">
        <v>3870</v>
      </c>
      <c r="C635" s="21" t="s">
        <v>1</v>
      </c>
      <c r="D635" s="21" t="s">
        <v>2</v>
      </c>
      <c r="E635" s="21" t="s">
        <v>90</v>
      </c>
      <c r="F635" s="21" t="s">
        <v>94</v>
      </c>
      <c r="G635" s="21" t="s">
        <v>1778</v>
      </c>
      <c r="H635" s="22" t="str" cm="1">
        <f t="array" ref="H635">Reverse2_6(O635)</f>
        <v>00-010201</v>
      </c>
      <c r="I635" s="45" cm="1">
        <f t="array" ref="I635">HEX2DEC(Reverse(P635))</f>
        <v>93631153</v>
      </c>
      <c r="J635" s="45" cm="1">
        <f t="array" ref="J635">IF(Q635&lt;&gt;0, HEX2DEC(Reverse(Q635))-$I635,"")</f>
        <v>30</v>
      </c>
      <c r="K635" s="45" cm="1">
        <f t="array" ref="K635">IF(R635&lt;&gt;0, HEX2DEC(Reverse(R635))-$I635,"")</f>
        <v>284</v>
      </c>
      <c r="L635" s="45" t="str" cm="1">
        <f t="array" ref="L635">IF(S635&lt;&gt;0, HEX2DEC(Reverse(S635))-$I635,"")</f>
        <v/>
      </c>
      <c r="M635" s="45" cm="1">
        <f t="array" ref="M635">IF(T635&lt;&gt;0, HEX2DEC(Reverse(T635))-$I635,"")</f>
        <v>278</v>
      </c>
      <c r="O635" s="3">
        <v>1020100</v>
      </c>
      <c r="P635" s="3" t="s">
        <v>114</v>
      </c>
      <c r="Q635" s="3" t="s">
        <v>921</v>
      </c>
      <c r="R635" s="3" t="s">
        <v>1577</v>
      </c>
      <c r="S635" s="3">
        <v>0</v>
      </c>
      <c r="T635" s="3" t="s">
        <v>1562</v>
      </c>
      <c r="U635" s="3"/>
      <c r="V635" s="4"/>
    </row>
    <row r="636" spans="1:22" x14ac:dyDescent="0.2">
      <c r="A636" s="20" t="s">
        <v>724</v>
      </c>
      <c r="B636" s="20">
        <v>3871</v>
      </c>
      <c r="C636" s="21" t="s">
        <v>1</v>
      </c>
      <c r="D636" s="21" t="s">
        <v>2</v>
      </c>
      <c r="E636" s="21" t="s">
        <v>90</v>
      </c>
      <c r="F636" s="21" t="s">
        <v>94</v>
      </c>
      <c r="G636" s="21" t="s">
        <v>1778</v>
      </c>
      <c r="H636" s="22" t="str" cm="1">
        <f t="array" ref="H636">Reverse2_6(O636)</f>
        <v>00-010201</v>
      </c>
      <c r="I636" s="45" cm="1">
        <f t="array" ref="I636">HEX2DEC(Reverse(P636))</f>
        <v>93631153</v>
      </c>
      <c r="J636" s="45" cm="1">
        <f t="array" ref="J636">IF(Q636&lt;&gt;0, HEX2DEC(Reverse(Q636))-$I636,"")</f>
        <v>30</v>
      </c>
      <c r="K636" s="45" cm="1">
        <f t="array" ref="K636">IF(R636&lt;&gt;0, HEX2DEC(Reverse(R636))-$I636,"")</f>
        <v>285</v>
      </c>
      <c r="L636" s="45" t="str" cm="1">
        <f t="array" ref="L636">IF(S636&lt;&gt;0, HEX2DEC(Reverse(S636))-$I636,"")</f>
        <v/>
      </c>
      <c r="M636" s="45" cm="1">
        <f t="array" ref="M636">IF(T636&lt;&gt;0, HEX2DEC(Reverse(T636))-$I636,"")</f>
        <v>278</v>
      </c>
      <c r="O636" s="3">
        <v>1020100</v>
      </c>
      <c r="P636" s="3" t="s">
        <v>114</v>
      </c>
      <c r="Q636" s="3" t="s">
        <v>921</v>
      </c>
      <c r="R636" s="3" t="s">
        <v>1578</v>
      </c>
      <c r="S636" s="3">
        <v>0</v>
      </c>
      <c r="T636" s="3" t="s">
        <v>1562</v>
      </c>
      <c r="U636" s="3"/>
      <c r="V636" s="4"/>
    </row>
    <row r="637" spans="1:22" x14ac:dyDescent="0.2">
      <c r="A637" s="16" t="s">
        <v>725</v>
      </c>
      <c r="B637" s="16">
        <v>3872</v>
      </c>
      <c r="C637" s="15" t="s">
        <v>2</v>
      </c>
      <c r="D637" s="15" t="s">
        <v>1</v>
      </c>
      <c r="E637" s="15" t="s">
        <v>92</v>
      </c>
      <c r="F637" s="15" t="s">
        <v>96</v>
      </c>
      <c r="G637" s="15"/>
      <c r="H637" s="17" t="str" cm="1">
        <f t="array" ref="H637">Reverse2_6(O637)</f>
        <v>00-010101</v>
      </c>
      <c r="I637" s="18" cm="1">
        <f t="array" ref="I637">HEX2DEC(Reverse(P637))</f>
        <v>93631153</v>
      </c>
      <c r="J637" s="18" cm="1">
        <f t="array" ref="J637">IF(Q637&lt;&gt;0, HEX2DEC(Reverse(Q637))-$I637,"")</f>
        <v>286</v>
      </c>
      <c r="K637" s="18" cm="1">
        <f t="array" ref="K637">IF(R637&lt;&gt;0, HEX2DEC(Reverse(R637))-$I637,"")</f>
        <v>30</v>
      </c>
      <c r="L637" s="18" cm="1">
        <f t="array" ref="L637">IF(S637&lt;&gt;0, HEX2DEC(Reverse(S637))-$I637,"")</f>
        <v>264</v>
      </c>
      <c r="M637" s="18" cm="1">
        <f t="array" ref="M637">IF(T637&lt;&gt;0, HEX2DEC(Reverse(T637))-$I637,"")</f>
        <v>30</v>
      </c>
      <c r="O637" s="3">
        <v>1010100</v>
      </c>
      <c r="P637" s="3" t="s">
        <v>114</v>
      </c>
      <c r="Q637" s="3" t="s">
        <v>1579</v>
      </c>
      <c r="R637" s="12" t="s">
        <v>921</v>
      </c>
      <c r="S637" s="3" t="s">
        <v>1525</v>
      </c>
      <c r="T637" s="12" t="s">
        <v>921</v>
      </c>
      <c r="U637" s="3">
        <v>31313131</v>
      </c>
      <c r="V637" s="4" t="s">
        <v>1540</v>
      </c>
    </row>
    <row r="638" spans="1:22" x14ac:dyDescent="0.2">
      <c r="A638" s="16" t="s">
        <v>726</v>
      </c>
      <c r="B638" s="16">
        <v>3873</v>
      </c>
      <c r="C638" s="15" t="s">
        <v>2</v>
      </c>
      <c r="D638" s="15" t="s">
        <v>1</v>
      </c>
      <c r="E638" s="15" t="s">
        <v>92</v>
      </c>
      <c r="F638" s="15" t="s">
        <v>101</v>
      </c>
      <c r="G638" s="15"/>
      <c r="H638" s="17" t="str" cm="1">
        <f t="array" ref="H638">Reverse2_6(O638)</f>
        <v>00-010101</v>
      </c>
      <c r="I638" s="18" cm="1">
        <f t="array" ref="I638">HEX2DEC(Reverse(P638))</f>
        <v>93631153</v>
      </c>
      <c r="J638" s="18" cm="1">
        <f t="array" ref="J638">IF(Q638&lt;&gt;0, HEX2DEC(Reverse(Q638))-$I638,"")</f>
        <v>287</v>
      </c>
      <c r="K638" s="18" cm="1">
        <f t="array" ref="K638">IF(R638&lt;&gt;0, HEX2DEC(Reverse(R638))-$I638,"")</f>
        <v>30</v>
      </c>
      <c r="L638" s="18" cm="1">
        <f t="array" ref="L638">IF(S638&lt;&gt;0, HEX2DEC(Reverse(S638))-$I638,"")</f>
        <v>265</v>
      </c>
      <c r="M638" s="18" cm="1">
        <f t="array" ref="M638">IF(T638&lt;&gt;0, HEX2DEC(Reverse(T638))-$I638,"")</f>
        <v>30</v>
      </c>
      <c r="O638" s="3">
        <v>1010100</v>
      </c>
      <c r="P638" s="3" t="s">
        <v>114</v>
      </c>
      <c r="Q638" s="3" t="s">
        <v>1580</v>
      </c>
      <c r="R638" s="12" t="s">
        <v>921</v>
      </c>
      <c r="S638" s="3" t="s">
        <v>1528</v>
      </c>
      <c r="T638" s="12" t="s">
        <v>921</v>
      </c>
      <c r="U638" s="3" t="s">
        <v>1542</v>
      </c>
      <c r="V638" s="4" t="s">
        <v>1543</v>
      </c>
    </row>
    <row r="639" spans="1:22" x14ac:dyDescent="0.2">
      <c r="A639" s="16" t="s">
        <v>727</v>
      </c>
      <c r="B639" s="16">
        <v>3874</v>
      </c>
      <c r="C639" s="15" t="s">
        <v>2</v>
      </c>
      <c r="D639" s="15" t="s">
        <v>1</v>
      </c>
      <c r="E639" s="15" t="s">
        <v>92</v>
      </c>
      <c r="F639" s="15" t="s">
        <v>96</v>
      </c>
      <c r="G639" s="15"/>
      <c r="H639" s="17" t="str" cm="1">
        <f t="array" ref="H639">Reverse2_6(O639)</f>
        <v>00-010101</v>
      </c>
      <c r="I639" s="18" cm="1">
        <f t="array" ref="I639">HEX2DEC(Reverse(P639))</f>
        <v>93631153</v>
      </c>
      <c r="J639" s="18" cm="1">
        <f t="array" ref="J639">IF(Q639&lt;&gt;0, HEX2DEC(Reverse(Q639))-$I639,"")</f>
        <v>288</v>
      </c>
      <c r="K639" s="18" cm="1">
        <f t="array" ref="K639">IF(R639&lt;&gt;0, HEX2DEC(Reverse(R639))-$I639,"")</f>
        <v>30</v>
      </c>
      <c r="L639" s="18" cm="1">
        <f t="array" ref="L639">IF(S639&lt;&gt;0, HEX2DEC(Reverse(S639))-$I639,"")</f>
        <v>279</v>
      </c>
      <c r="M639" s="18" cm="1">
        <f t="array" ref="M639">IF(T639&lt;&gt;0, HEX2DEC(Reverse(T639))-$I639,"")</f>
        <v>30</v>
      </c>
      <c r="O639" s="3">
        <v>1010100</v>
      </c>
      <c r="P639" s="3" t="s">
        <v>114</v>
      </c>
      <c r="Q639" s="3" t="s">
        <v>1581</v>
      </c>
      <c r="R639" s="12" t="s">
        <v>921</v>
      </c>
      <c r="S639" s="3" t="s">
        <v>1564</v>
      </c>
      <c r="T639" s="12" t="s">
        <v>921</v>
      </c>
      <c r="U639" s="3">
        <v>31313131</v>
      </c>
      <c r="V639" s="4" t="s">
        <v>1582</v>
      </c>
    </row>
    <row r="640" spans="1:22" x14ac:dyDescent="0.2">
      <c r="A640" s="20" t="s">
        <v>728</v>
      </c>
      <c r="B640" s="20">
        <v>3875</v>
      </c>
      <c r="C640" s="21" t="s">
        <v>1</v>
      </c>
      <c r="D640" s="21" t="s">
        <v>2</v>
      </c>
      <c r="E640" s="21" t="s">
        <v>90</v>
      </c>
      <c r="F640" s="21" t="s">
        <v>94</v>
      </c>
      <c r="G640" s="21" t="s">
        <v>1778</v>
      </c>
      <c r="H640" s="22" t="str" cm="1">
        <f t="array" ref="H640">Reverse2_6(O640)</f>
        <v>00-010201</v>
      </c>
      <c r="I640" s="45" cm="1">
        <f t="array" ref="I640">HEX2DEC(Reverse(P640))</f>
        <v>93631153</v>
      </c>
      <c r="J640" s="45" cm="1">
        <f t="array" ref="J640">IF(Q640&lt;&gt;0, HEX2DEC(Reverse(Q640))-$I640,"")</f>
        <v>30</v>
      </c>
      <c r="K640" s="45" cm="1">
        <f t="array" ref="K640">IF(R640&lt;&gt;0, HEX2DEC(Reverse(R640))-$I640,"")</f>
        <v>286</v>
      </c>
      <c r="L640" s="45" t="str" cm="1">
        <f t="array" ref="L640">IF(S640&lt;&gt;0, HEX2DEC(Reverse(S640))-$I640,"")</f>
        <v/>
      </c>
      <c r="M640" s="45" cm="1">
        <f t="array" ref="M640">IF(T640&lt;&gt;0, HEX2DEC(Reverse(T640))-$I640,"")</f>
        <v>278</v>
      </c>
      <c r="O640" s="3">
        <v>1020100</v>
      </c>
      <c r="P640" s="3" t="s">
        <v>114</v>
      </c>
      <c r="Q640" s="3" t="s">
        <v>921</v>
      </c>
      <c r="R640" s="3" t="s">
        <v>1579</v>
      </c>
      <c r="S640" s="3">
        <v>0</v>
      </c>
      <c r="T640" s="3" t="s">
        <v>1562</v>
      </c>
      <c r="U640" s="3"/>
      <c r="V640" s="4"/>
    </row>
    <row r="641" spans="1:22" x14ac:dyDescent="0.2">
      <c r="A641" s="20" t="s">
        <v>729</v>
      </c>
      <c r="B641" s="20">
        <v>3876</v>
      </c>
      <c r="C641" s="21" t="s">
        <v>1</v>
      </c>
      <c r="D641" s="21" t="s">
        <v>2</v>
      </c>
      <c r="E641" s="21" t="s">
        <v>90</v>
      </c>
      <c r="F641" s="21" t="s">
        <v>94</v>
      </c>
      <c r="G641" s="21" t="s">
        <v>1778</v>
      </c>
      <c r="H641" s="22" t="str" cm="1">
        <f t="array" ref="H641">Reverse2_6(O641)</f>
        <v>00-010201</v>
      </c>
      <c r="I641" s="45" cm="1">
        <f t="array" ref="I641">HEX2DEC(Reverse(P641))</f>
        <v>93631153</v>
      </c>
      <c r="J641" s="45" cm="1">
        <f t="array" ref="J641">IF(Q641&lt;&gt;0, HEX2DEC(Reverse(Q641))-$I641,"")</f>
        <v>30</v>
      </c>
      <c r="K641" s="45" cm="1">
        <f t="array" ref="K641">IF(R641&lt;&gt;0, HEX2DEC(Reverse(R641))-$I641,"")</f>
        <v>287</v>
      </c>
      <c r="L641" s="45" t="str" cm="1">
        <f t="array" ref="L641">IF(S641&lt;&gt;0, HEX2DEC(Reverse(S641))-$I641,"")</f>
        <v/>
      </c>
      <c r="M641" s="45" cm="1">
        <f t="array" ref="M641">IF(T641&lt;&gt;0, HEX2DEC(Reverse(T641))-$I641,"")</f>
        <v>278</v>
      </c>
      <c r="O641" s="3">
        <v>1020100</v>
      </c>
      <c r="P641" s="3" t="s">
        <v>114</v>
      </c>
      <c r="Q641" s="3" t="s">
        <v>921</v>
      </c>
      <c r="R641" s="3" t="s">
        <v>1580</v>
      </c>
      <c r="S641" s="3">
        <v>0</v>
      </c>
      <c r="T641" s="3" t="s">
        <v>1562</v>
      </c>
      <c r="U641" s="3"/>
      <c r="V641" s="4"/>
    </row>
    <row r="642" spans="1:22" x14ac:dyDescent="0.2">
      <c r="A642" s="20" t="s">
        <v>730</v>
      </c>
      <c r="B642" s="20">
        <v>3877</v>
      </c>
      <c r="C642" s="21" t="s">
        <v>1</v>
      </c>
      <c r="D642" s="21" t="s">
        <v>2</v>
      </c>
      <c r="E642" s="21" t="s">
        <v>90</v>
      </c>
      <c r="F642" s="21" t="s">
        <v>94</v>
      </c>
      <c r="G642" s="21" t="s">
        <v>1778</v>
      </c>
      <c r="H642" s="22" t="str" cm="1">
        <f t="array" ref="H642">Reverse2_6(O642)</f>
        <v>00-010201</v>
      </c>
      <c r="I642" s="45" cm="1">
        <f t="array" ref="I642">HEX2DEC(Reverse(P642))</f>
        <v>93631153</v>
      </c>
      <c r="J642" s="45" cm="1">
        <f t="array" ref="J642">IF(Q642&lt;&gt;0, HEX2DEC(Reverse(Q642))-$I642,"")</f>
        <v>30</v>
      </c>
      <c r="K642" s="45" cm="1">
        <f t="array" ref="K642">IF(R642&lt;&gt;0, HEX2DEC(Reverse(R642))-$I642,"")</f>
        <v>288</v>
      </c>
      <c r="L642" s="45" t="str" cm="1">
        <f t="array" ref="L642">IF(S642&lt;&gt;0, HEX2DEC(Reverse(S642))-$I642,"")</f>
        <v/>
      </c>
      <c r="M642" s="45" cm="1">
        <f t="array" ref="M642">IF(T642&lt;&gt;0, HEX2DEC(Reverse(T642))-$I642,"")</f>
        <v>279</v>
      </c>
      <c r="O642" s="3">
        <v>1020100</v>
      </c>
      <c r="P642" s="3" t="s">
        <v>114</v>
      </c>
      <c r="Q642" s="3" t="s">
        <v>921</v>
      </c>
      <c r="R642" s="3" t="s">
        <v>1581</v>
      </c>
      <c r="S642" s="3">
        <v>0</v>
      </c>
      <c r="T642" s="3" t="s">
        <v>1564</v>
      </c>
      <c r="U642" s="3"/>
      <c r="V642" s="4"/>
    </row>
    <row r="643" spans="1:22" x14ac:dyDescent="0.2">
      <c r="A643" s="16" t="s">
        <v>731</v>
      </c>
      <c r="B643" s="16">
        <v>3879</v>
      </c>
      <c r="C643" s="15" t="s">
        <v>2</v>
      </c>
      <c r="D643" s="15" t="s">
        <v>1</v>
      </c>
      <c r="E643" s="15" t="s">
        <v>92</v>
      </c>
      <c r="F643" s="15" t="s">
        <v>96</v>
      </c>
      <c r="G643" s="15"/>
      <c r="H643" s="17" t="str" cm="1">
        <f t="array" ref="H643">Reverse2_6(O643)</f>
        <v>00-010101</v>
      </c>
      <c r="I643" s="18" cm="1">
        <f t="array" ref="I643">HEX2DEC(Reverse(P643))</f>
        <v>93631153</v>
      </c>
      <c r="J643" s="18" cm="1">
        <f t="array" ref="J643">IF(Q643&lt;&gt;0, HEX2DEC(Reverse(Q643))-$I643,"")</f>
        <v>289</v>
      </c>
      <c r="K643" s="18" cm="1">
        <f t="array" ref="K643">IF(R643&lt;&gt;0, HEX2DEC(Reverse(R643))-$I643,"")</f>
        <v>30</v>
      </c>
      <c r="L643" s="18" cm="1">
        <f t="array" ref="L643">IF(S643&lt;&gt;0, HEX2DEC(Reverse(S643))-$I643,"")</f>
        <v>280</v>
      </c>
      <c r="M643" s="18" cm="1">
        <f t="array" ref="M643">IF(T643&lt;&gt;0, HEX2DEC(Reverse(T643))-$I643,"")</f>
        <v>30</v>
      </c>
      <c r="O643" s="3">
        <v>1010100</v>
      </c>
      <c r="P643" s="3" t="s">
        <v>114</v>
      </c>
      <c r="Q643" s="3" t="s">
        <v>1583</v>
      </c>
      <c r="R643" s="12" t="s">
        <v>921</v>
      </c>
      <c r="S643" s="3" t="s">
        <v>1567</v>
      </c>
      <c r="T643" s="12" t="s">
        <v>921</v>
      </c>
      <c r="U643" s="3" t="s">
        <v>1584</v>
      </c>
      <c r="V643" s="4" t="s">
        <v>1585</v>
      </c>
    </row>
    <row r="644" spans="1:22" x14ac:dyDescent="0.2">
      <c r="A644" s="16" t="s">
        <v>732</v>
      </c>
      <c r="B644" s="16">
        <v>3880</v>
      </c>
      <c r="C644" s="15" t="s">
        <v>2</v>
      </c>
      <c r="D644" s="15" t="s">
        <v>1</v>
      </c>
      <c r="E644" s="15" t="s">
        <v>92</v>
      </c>
      <c r="F644" s="15" t="s">
        <v>96</v>
      </c>
      <c r="G644" s="15"/>
      <c r="H644" s="17" t="str" cm="1">
        <f t="array" ref="H644">Reverse2_6(O644)</f>
        <v>00-010101</v>
      </c>
      <c r="I644" s="18" cm="1">
        <f t="array" ref="I644">HEX2DEC(Reverse(P644))</f>
        <v>93631153</v>
      </c>
      <c r="J644" s="18" cm="1">
        <f t="array" ref="J644">IF(Q644&lt;&gt;0, HEX2DEC(Reverse(Q644))-$I644,"")</f>
        <v>290</v>
      </c>
      <c r="K644" s="18" cm="1">
        <f t="array" ref="K644">IF(R644&lt;&gt;0, HEX2DEC(Reverse(R644))-$I644,"")</f>
        <v>30</v>
      </c>
      <c r="L644" s="18" cm="1">
        <f t="array" ref="L644">IF(S644&lt;&gt;0, HEX2DEC(Reverse(S644))-$I644,"")</f>
        <v>281</v>
      </c>
      <c r="M644" s="18" cm="1">
        <f t="array" ref="M644">IF(T644&lt;&gt;0, HEX2DEC(Reverse(T644))-$I644,"")</f>
        <v>30</v>
      </c>
      <c r="O644" s="3">
        <v>1010100</v>
      </c>
      <c r="P644" s="3" t="s">
        <v>114</v>
      </c>
      <c r="Q644" s="3" t="s">
        <v>1586</v>
      </c>
      <c r="R644" s="12" t="s">
        <v>921</v>
      </c>
      <c r="S644" s="3" t="s">
        <v>1570</v>
      </c>
      <c r="T644" s="12" t="s">
        <v>921</v>
      </c>
      <c r="U644" s="3" t="s">
        <v>1587</v>
      </c>
      <c r="V644" s="4" t="s">
        <v>1588</v>
      </c>
    </row>
    <row r="645" spans="1:22" x14ac:dyDescent="0.2">
      <c r="A645" s="16" t="s">
        <v>733</v>
      </c>
      <c r="B645" s="16">
        <v>3881</v>
      </c>
      <c r="C645" s="15" t="s">
        <v>2</v>
      </c>
      <c r="D645" s="15" t="s">
        <v>1</v>
      </c>
      <c r="E645" s="15" t="s">
        <v>92</v>
      </c>
      <c r="F645" s="15" t="s">
        <v>96</v>
      </c>
      <c r="G645" s="15"/>
      <c r="H645" s="17" t="str" cm="1">
        <f t="array" ref="H645">Reverse2_6(O645)</f>
        <v>00-010101</v>
      </c>
      <c r="I645" s="18" cm="1">
        <f t="array" ref="I645">HEX2DEC(Reverse(P645))</f>
        <v>93631153</v>
      </c>
      <c r="J645" s="18" cm="1">
        <f t="array" ref="J645">IF(Q645&lt;&gt;0, HEX2DEC(Reverse(Q645))-$I645,"")</f>
        <v>291</v>
      </c>
      <c r="K645" s="18" cm="1">
        <f t="array" ref="K645">IF(R645&lt;&gt;0, HEX2DEC(Reverse(R645))-$I645,"")</f>
        <v>30</v>
      </c>
      <c r="L645" s="18" cm="1">
        <f t="array" ref="L645">IF(S645&lt;&gt;0, HEX2DEC(Reverse(S645))-$I645,"")</f>
        <v>282</v>
      </c>
      <c r="M645" s="18" cm="1">
        <f t="array" ref="M645">IF(T645&lt;&gt;0, HEX2DEC(Reverse(T645))-$I645,"")</f>
        <v>30</v>
      </c>
      <c r="O645" s="3">
        <v>1010100</v>
      </c>
      <c r="P645" s="3" t="s">
        <v>114</v>
      </c>
      <c r="Q645" s="3" t="s">
        <v>1589</v>
      </c>
      <c r="R645" s="12" t="s">
        <v>921</v>
      </c>
      <c r="S645" s="3" t="s">
        <v>1573</v>
      </c>
      <c r="T645" s="12" t="s">
        <v>921</v>
      </c>
      <c r="U645" s="3" t="s">
        <v>1590</v>
      </c>
      <c r="V645" s="4" t="s">
        <v>1591</v>
      </c>
    </row>
    <row r="646" spans="1:22" x14ac:dyDescent="0.2">
      <c r="A646" s="16" t="s">
        <v>734</v>
      </c>
      <c r="B646" s="16">
        <v>3883</v>
      </c>
      <c r="C646" s="15" t="s">
        <v>2</v>
      </c>
      <c r="D646" s="15" t="s">
        <v>1</v>
      </c>
      <c r="E646" s="15" t="s">
        <v>92</v>
      </c>
      <c r="F646" s="15" t="s">
        <v>96</v>
      </c>
      <c r="G646" s="15"/>
      <c r="H646" s="17" t="str" cm="1">
        <f t="array" ref="H646">Reverse2_6(O646)</f>
        <v>00-010101</v>
      </c>
      <c r="I646" s="18" cm="1">
        <f t="array" ref="I646">HEX2DEC(Reverse(P646))</f>
        <v>93631153</v>
      </c>
      <c r="J646" s="18" cm="1">
        <f t="array" ref="J646">IF(Q646&lt;&gt;0, HEX2DEC(Reverse(Q646))-$I646,"")</f>
        <v>292</v>
      </c>
      <c r="K646" s="18" cm="1">
        <f t="array" ref="K646">IF(R646&lt;&gt;0, HEX2DEC(Reverse(R646))-$I646,"")</f>
        <v>30</v>
      </c>
      <c r="L646" s="18" cm="1">
        <f t="array" ref="L646">IF(S646&lt;&gt;0, HEX2DEC(Reverse(S646))-$I646,"")</f>
        <v>283</v>
      </c>
      <c r="M646" s="18" cm="1">
        <f t="array" ref="M646">IF(T646&lt;&gt;0, HEX2DEC(Reverse(T646))-$I646,"")</f>
        <v>30</v>
      </c>
      <c r="O646" s="3">
        <v>1010100</v>
      </c>
      <c r="P646" s="3" t="s">
        <v>114</v>
      </c>
      <c r="Q646" s="3" t="s">
        <v>1592</v>
      </c>
      <c r="R646" s="12" t="s">
        <v>921</v>
      </c>
      <c r="S646" s="3" t="s">
        <v>1574</v>
      </c>
      <c r="T646" s="12" t="s">
        <v>921</v>
      </c>
      <c r="U646" s="3" t="s">
        <v>1593</v>
      </c>
      <c r="V646" s="4" t="s">
        <v>1594</v>
      </c>
    </row>
    <row r="647" spans="1:22" x14ac:dyDescent="0.2">
      <c r="A647" s="16" t="s">
        <v>735</v>
      </c>
      <c r="B647" s="16">
        <v>3884</v>
      </c>
      <c r="C647" s="15" t="s">
        <v>2</v>
      </c>
      <c r="D647" s="15" t="s">
        <v>1</v>
      </c>
      <c r="E647" s="15" t="s">
        <v>92</v>
      </c>
      <c r="F647" s="15" t="s">
        <v>96</v>
      </c>
      <c r="G647" s="15"/>
      <c r="H647" s="17" t="str" cm="1">
        <f t="array" ref="H647">Reverse2_6(O647)</f>
        <v>00-010101</v>
      </c>
      <c r="I647" s="18" cm="1">
        <f t="array" ref="I647">HEX2DEC(Reverse(P647))</f>
        <v>93631153</v>
      </c>
      <c r="J647" s="18" cm="1">
        <f t="array" ref="J647">IF(Q647&lt;&gt;0, HEX2DEC(Reverse(Q647))-$I647,"")</f>
        <v>293</v>
      </c>
      <c r="K647" s="18" cm="1">
        <f t="array" ref="K647">IF(R647&lt;&gt;0, HEX2DEC(Reverse(R647))-$I647,"")</f>
        <v>30</v>
      </c>
      <c r="L647" s="18" cm="1">
        <f t="array" ref="L647">IF(S647&lt;&gt;0, HEX2DEC(Reverse(S647))-$I647,"")</f>
        <v>284</v>
      </c>
      <c r="M647" s="18" cm="1">
        <f t="array" ref="M647">IF(T647&lt;&gt;0, HEX2DEC(Reverse(T647))-$I647,"")</f>
        <v>30</v>
      </c>
      <c r="O647" s="3">
        <v>1010100</v>
      </c>
      <c r="P647" s="3" t="s">
        <v>114</v>
      </c>
      <c r="Q647" s="3" t="s">
        <v>1595</v>
      </c>
      <c r="R647" s="12" t="s">
        <v>921</v>
      </c>
      <c r="S647" s="3" t="s">
        <v>1577</v>
      </c>
      <c r="T647" s="12" t="s">
        <v>921</v>
      </c>
      <c r="U647" s="3" t="s">
        <v>1596</v>
      </c>
      <c r="V647" s="4" t="s">
        <v>1597</v>
      </c>
    </row>
    <row r="648" spans="1:22" x14ac:dyDescent="0.2">
      <c r="A648" s="16" t="s">
        <v>736</v>
      </c>
      <c r="B648" s="16">
        <v>3885</v>
      </c>
      <c r="C648" s="15" t="s">
        <v>2</v>
      </c>
      <c r="D648" s="15" t="s">
        <v>1</v>
      </c>
      <c r="E648" s="15" t="s">
        <v>92</v>
      </c>
      <c r="F648" s="15" t="s">
        <v>96</v>
      </c>
      <c r="G648" s="15"/>
      <c r="H648" s="17" t="str" cm="1">
        <f t="array" ref="H648">Reverse2_6(O648)</f>
        <v>00-010101</v>
      </c>
      <c r="I648" s="18" cm="1">
        <f t="array" ref="I648">HEX2DEC(Reverse(P648))</f>
        <v>93631153</v>
      </c>
      <c r="J648" s="18" cm="1">
        <f t="array" ref="J648">IF(Q648&lt;&gt;0, HEX2DEC(Reverse(Q648))-$I648,"")</f>
        <v>294</v>
      </c>
      <c r="K648" s="18" cm="1">
        <f t="array" ref="K648">IF(R648&lt;&gt;0, HEX2DEC(Reverse(R648))-$I648,"")</f>
        <v>30</v>
      </c>
      <c r="L648" s="18" cm="1">
        <f t="array" ref="L648">IF(S648&lt;&gt;0, HEX2DEC(Reverse(S648))-$I648,"")</f>
        <v>285</v>
      </c>
      <c r="M648" s="18" cm="1">
        <f t="array" ref="M648">IF(T648&lt;&gt;0, HEX2DEC(Reverse(T648))-$I648,"")</f>
        <v>30</v>
      </c>
      <c r="O648" s="3">
        <v>1010100</v>
      </c>
      <c r="P648" s="3" t="s">
        <v>114</v>
      </c>
      <c r="Q648" s="3" t="s">
        <v>1598</v>
      </c>
      <c r="R648" s="12" t="s">
        <v>921</v>
      </c>
      <c r="S648" s="3" t="s">
        <v>1578</v>
      </c>
      <c r="T648" s="12" t="s">
        <v>921</v>
      </c>
      <c r="U648" s="3" t="s">
        <v>1599</v>
      </c>
      <c r="V648" s="4" t="s">
        <v>1600</v>
      </c>
    </row>
    <row r="649" spans="1:22" x14ac:dyDescent="0.2">
      <c r="A649" s="16" t="s">
        <v>737</v>
      </c>
      <c r="B649" s="16">
        <v>3886</v>
      </c>
      <c r="C649" s="15" t="s">
        <v>2</v>
      </c>
      <c r="D649" s="15" t="s">
        <v>1</v>
      </c>
      <c r="E649" s="15" t="s">
        <v>92</v>
      </c>
      <c r="F649" s="15" t="s">
        <v>96</v>
      </c>
      <c r="G649" s="15"/>
      <c r="H649" s="17" t="str" cm="1">
        <f t="array" ref="H649">Reverse2_6(O649)</f>
        <v>00-010101</v>
      </c>
      <c r="I649" s="18" cm="1">
        <f t="array" ref="I649">HEX2DEC(Reverse(P649))</f>
        <v>93631153</v>
      </c>
      <c r="J649" s="18" cm="1">
        <f t="array" ref="J649">IF(Q649&lt;&gt;0, HEX2DEC(Reverse(Q649))-$I649,"")</f>
        <v>295</v>
      </c>
      <c r="K649" s="18" cm="1">
        <f t="array" ref="K649">IF(R649&lt;&gt;0, HEX2DEC(Reverse(R649))-$I649,"")</f>
        <v>30</v>
      </c>
      <c r="L649" s="18" cm="1">
        <f t="array" ref="L649">IF(S649&lt;&gt;0, HEX2DEC(Reverse(S649))-$I649,"")</f>
        <v>286</v>
      </c>
      <c r="M649" s="18" cm="1">
        <f t="array" ref="M649">IF(T649&lt;&gt;0, HEX2DEC(Reverse(T649))-$I649,"")</f>
        <v>30</v>
      </c>
      <c r="O649" s="3">
        <v>1010100</v>
      </c>
      <c r="P649" s="3" t="s">
        <v>114</v>
      </c>
      <c r="Q649" s="3" t="s">
        <v>1601</v>
      </c>
      <c r="R649" s="12" t="s">
        <v>921</v>
      </c>
      <c r="S649" s="3" t="s">
        <v>1579</v>
      </c>
      <c r="T649" s="12" t="s">
        <v>921</v>
      </c>
      <c r="U649" s="3" t="s">
        <v>1602</v>
      </c>
      <c r="V649" s="4" t="s">
        <v>1603</v>
      </c>
    </row>
    <row r="650" spans="1:22" x14ac:dyDescent="0.2">
      <c r="A650" s="16" t="s">
        <v>738</v>
      </c>
      <c r="B650" s="16">
        <v>3889</v>
      </c>
      <c r="C650" s="15" t="s">
        <v>2</v>
      </c>
      <c r="D650" s="15" t="s">
        <v>1</v>
      </c>
      <c r="E650" s="15" t="s">
        <v>92</v>
      </c>
      <c r="F650" s="15" t="s">
        <v>96</v>
      </c>
      <c r="G650" s="15"/>
      <c r="H650" s="17" t="str" cm="1">
        <f t="array" ref="H650">Reverse2_6(O650)</f>
        <v>00-010101</v>
      </c>
      <c r="I650" s="18" cm="1">
        <f t="array" ref="I650">HEX2DEC(Reverse(P650))</f>
        <v>93631153</v>
      </c>
      <c r="J650" s="18" cm="1">
        <f t="array" ref="J650">IF(Q650&lt;&gt;0, HEX2DEC(Reverse(Q650))-$I650,"")</f>
        <v>296</v>
      </c>
      <c r="K650" s="18" cm="1">
        <f t="array" ref="K650">IF(R650&lt;&gt;0, HEX2DEC(Reverse(R650))-$I650,"")</f>
        <v>30</v>
      </c>
      <c r="L650" s="18" cm="1">
        <f t="array" ref="L650">IF(S650&lt;&gt;0, HEX2DEC(Reverse(S650))-$I650,"")</f>
        <v>287</v>
      </c>
      <c r="M650" s="18" cm="1">
        <f t="array" ref="M650">IF(T650&lt;&gt;0, HEX2DEC(Reverse(T650))-$I650,"")</f>
        <v>30</v>
      </c>
      <c r="O650" s="3">
        <v>1010100</v>
      </c>
      <c r="P650" s="3" t="s">
        <v>114</v>
      </c>
      <c r="Q650" s="3" t="s">
        <v>1604</v>
      </c>
      <c r="R650" s="12" t="s">
        <v>921</v>
      </c>
      <c r="S650" s="3" t="s">
        <v>1580</v>
      </c>
      <c r="T650" s="12" t="s">
        <v>921</v>
      </c>
      <c r="U650" s="3" t="s">
        <v>1605</v>
      </c>
      <c r="V650" s="4" t="s">
        <v>1606</v>
      </c>
    </row>
    <row r="651" spans="1:22" x14ac:dyDescent="0.2">
      <c r="A651" s="20" t="s">
        <v>739</v>
      </c>
      <c r="B651" s="20">
        <v>3890</v>
      </c>
      <c r="C651" s="21" t="s">
        <v>1</v>
      </c>
      <c r="D651" s="21" t="s">
        <v>2</v>
      </c>
      <c r="E651" s="21" t="s">
        <v>90</v>
      </c>
      <c r="F651" s="21" t="s">
        <v>94</v>
      </c>
      <c r="G651" s="21" t="s">
        <v>1778</v>
      </c>
      <c r="H651" s="22" t="str" cm="1">
        <f t="array" ref="H651">Reverse2_6(O651)</f>
        <v>00-010201</v>
      </c>
      <c r="I651" s="45" cm="1">
        <f t="array" ref="I651">HEX2DEC(Reverse(P651))</f>
        <v>93631153</v>
      </c>
      <c r="J651" s="45" cm="1">
        <f t="array" ref="J651">IF(Q651&lt;&gt;0, HEX2DEC(Reverse(Q651))-$I651,"")</f>
        <v>30</v>
      </c>
      <c r="K651" s="45" cm="1">
        <f t="array" ref="K651">IF(R651&lt;&gt;0, HEX2DEC(Reverse(R651))-$I651,"")</f>
        <v>289</v>
      </c>
      <c r="L651" s="45" t="str" cm="1">
        <f t="array" ref="L651">IF(S651&lt;&gt;0, HEX2DEC(Reverse(S651))-$I651,"")</f>
        <v/>
      </c>
      <c r="M651" s="45" cm="1">
        <f t="array" ref="M651">IF(T651&lt;&gt;0, HEX2DEC(Reverse(T651))-$I651,"")</f>
        <v>280</v>
      </c>
      <c r="O651" s="3">
        <v>1020100</v>
      </c>
      <c r="P651" s="3" t="s">
        <v>114</v>
      </c>
      <c r="Q651" s="3" t="s">
        <v>921</v>
      </c>
      <c r="R651" s="3" t="s">
        <v>1583</v>
      </c>
      <c r="S651" s="3">
        <v>0</v>
      </c>
      <c r="T651" s="3" t="s">
        <v>1567</v>
      </c>
      <c r="U651" s="3"/>
      <c r="V651" s="4"/>
    </row>
    <row r="652" spans="1:22" x14ac:dyDescent="0.2">
      <c r="A652" s="20" t="s">
        <v>740</v>
      </c>
      <c r="B652" s="20">
        <v>3891</v>
      </c>
      <c r="C652" s="21" t="s">
        <v>1</v>
      </c>
      <c r="D652" s="21" t="s">
        <v>2</v>
      </c>
      <c r="E652" s="21" t="s">
        <v>90</v>
      </c>
      <c r="F652" s="21" t="s">
        <v>94</v>
      </c>
      <c r="G652" s="21" t="s">
        <v>1778</v>
      </c>
      <c r="H652" s="22" t="str" cm="1">
        <f t="array" ref="H652">Reverse2_6(O652)</f>
        <v>00-010201</v>
      </c>
      <c r="I652" s="45" cm="1">
        <f t="array" ref="I652">HEX2DEC(Reverse(P652))</f>
        <v>93631153</v>
      </c>
      <c r="J652" s="45" cm="1">
        <f t="array" ref="J652">IF(Q652&lt;&gt;0, HEX2DEC(Reverse(Q652))-$I652,"")</f>
        <v>30</v>
      </c>
      <c r="K652" s="45" cm="1">
        <f t="array" ref="K652">IF(R652&lt;&gt;0, HEX2DEC(Reverse(R652))-$I652,"")</f>
        <v>290</v>
      </c>
      <c r="L652" s="45" t="str" cm="1">
        <f t="array" ref="L652">IF(S652&lt;&gt;0, HEX2DEC(Reverse(S652))-$I652,"")</f>
        <v/>
      </c>
      <c r="M652" s="45" cm="1">
        <f t="array" ref="M652">IF(T652&lt;&gt;0, HEX2DEC(Reverse(T652))-$I652,"")</f>
        <v>281</v>
      </c>
      <c r="O652" s="3">
        <v>1020100</v>
      </c>
      <c r="P652" s="3" t="s">
        <v>114</v>
      </c>
      <c r="Q652" s="3" t="s">
        <v>921</v>
      </c>
      <c r="R652" s="3" t="s">
        <v>1586</v>
      </c>
      <c r="S652" s="3">
        <v>0</v>
      </c>
      <c r="T652" s="3" t="s">
        <v>1570</v>
      </c>
      <c r="U652" s="3"/>
      <c r="V652" s="4"/>
    </row>
    <row r="653" spans="1:22" x14ac:dyDescent="0.2">
      <c r="A653" s="20" t="s">
        <v>741</v>
      </c>
      <c r="B653" s="20">
        <v>3892</v>
      </c>
      <c r="C653" s="21" t="s">
        <v>1</v>
      </c>
      <c r="D653" s="21" t="s">
        <v>2</v>
      </c>
      <c r="E653" s="21" t="s">
        <v>90</v>
      </c>
      <c r="F653" s="21" t="s">
        <v>94</v>
      </c>
      <c r="G653" s="21" t="s">
        <v>1778</v>
      </c>
      <c r="H653" s="22" t="str" cm="1">
        <f t="array" ref="H653">Reverse2_6(O653)</f>
        <v>00-010201</v>
      </c>
      <c r="I653" s="45" cm="1">
        <f t="array" ref="I653">HEX2DEC(Reverse(P653))</f>
        <v>93631153</v>
      </c>
      <c r="J653" s="45" cm="1">
        <f t="array" ref="J653">IF(Q653&lt;&gt;0, HEX2DEC(Reverse(Q653))-$I653,"")</f>
        <v>30</v>
      </c>
      <c r="K653" s="45" cm="1">
        <f t="array" ref="K653">IF(R653&lt;&gt;0, HEX2DEC(Reverse(R653))-$I653,"")</f>
        <v>291</v>
      </c>
      <c r="L653" s="45" t="str" cm="1">
        <f t="array" ref="L653">IF(S653&lt;&gt;0, HEX2DEC(Reverse(S653))-$I653,"")</f>
        <v/>
      </c>
      <c r="M653" s="45" cm="1">
        <f t="array" ref="M653">IF(T653&lt;&gt;0, HEX2DEC(Reverse(T653))-$I653,"")</f>
        <v>282</v>
      </c>
      <c r="O653" s="3">
        <v>1020100</v>
      </c>
      <c r="P653" s="3" t="s">
        <v>114</v>
      </c>
      <c r="Q653" s="3" t="s">
        <v>921</v>
      </c>
      <c r="R653" s="3" t="s">
        <v>1589</v>
      </c>
      <c r="S653" s="3">
        <v>0</v>
      </c>
      <c r="T653" s="3" t="s">
        <v>1573</v>
      </c>
      <c r="U653" s="3"/>
      <c r="V653" s="4"/>
    </row>
    <row r="654" spans="1:22" x14ac:dyDescent="0.2">
      <c r="A654" s="20" t="s">
        <v>742</v>
      </c>
      <c r="B654" s="20">
        <v>3893</v>
      </c>
      <c r="C654" s="21" t="s">
        <v>1</v>
      </c>
      <c r="D654" s="21" t="s">
        <v>2</v>
      </c>
      <c r="E654" s="21" t="s">
        <v>90</v>
      </c>
      <c r="F654" s="21" t="s">
        <v>94</v>
      </c>
      <c r="G654" s="21" t="s">
        <v>1778</v>
      </c>
      <c r="H654" s="22" t="str" cm="1">
        <f t="array" ref="H654">Reverse2_6(O654)</f>
        <v>00-010201</v>
      </c>
      <c r="I654" s="45" cm="1">
        <f t="array" ref="I654">HEX2DEC(Reverse(P654))</f>
        <v>93631153</v>
      </c>
      <c r="J654" s="45" cm="1">
        <f t="array" ref="J654">IF(Q654&lt;&gt;0, HEX2DEC(Reverse(Q654))-$I654,"")</f>
        <v>30</v>
      </c>
      <c r="K654" s="45" cm="1">
        <f t="array" ref="K654">IF(R654&lt;&gt;0, HEX2DEC(Reverse(R654))-$I654,"")</f>
        <v>292</v>
      </c>
      <c r="L654" s="45" t="str" cm="1">
        <f t="array" ref="L654">IF(S654&lt;&gt;0, HEX2DEC(Reverse(S654))-$I654,"")</f>
        <v/>
      </c>
      <c r="M654" s="45" cm="1">
        <f t="array" ref="M654">IF(T654&lt;&gt;0, HEX2DEC(Reverse(T654))-$I654,"")</f>
        <v>283</v>
      </c>
      <c r="O654" s="3">
        <v>1020100</v>
      </c>
      <c r="P654" s="3" t="s">
        <v>114</v>
      </c>
      <c r="Q654" s="3" t="s">
        <v>921</v>
      </c>
      <c r="R654" s="3" t="s">
        <v>1592</v>
      </c>
      <c r="S654" s="3">
        <v>0</v>
      </c>
      <c r="T654" s="3" t="s">
        <v>1574</v>
      </c>
      <c r="U654" s="3"/>
      <c r="V654" s="4"/>
    </row>
    <row r="655" spans="1:22" x14ac:dyDescent="0.2">
      <c r="A655" s="20" t="s">
        <v>743</v>
      </c>
      <c r="B655" s="20">
        <v>3894</v>
      </c>
      <c r="C655" s="21" t="s">
        <v>1</v>
      </c>
      <c r="D655" s="21" t="s">
        <v>2</v>
      </c>
      <c r="E655" s="21" t="s">
        <v>90</v>
      </c>
      <c r="F655" s="21" t="s">
        <v>94</v>
      </c>
      <c r="G655" s="21" t="s">
        <v>1778</v>
      </c>
      <c r="H655" s="22" t="str" cm="1">
        <f t="array" ref="H655">Reverse2_6(O655)</f>
        <v>00-010201</v>
      </c>
      <c r="I655" s="45" cm="1">
        <f t="array" ref="I655">HEX2DEC(Reverse(P655))</f>
        <v>93631153</v>
      </c>
      <c r="J655" s="45" cm="1">
        <f t="array" ref="J655">IF(Q655&lt;&gt;0, HEX2DEC(Reverse(Q655))-$I655,"")</f>
        <v>30</v>
      </c>
      <c r="K655" s="45" cm="1">
        <f t="array" ref="K655">IF(R655&lt;&gt;0, HEX2DEC(Reverse(R655))-$I655,"")</f>
        <v>293</v>
      </c>
      <c r="L655" s="45" t="str" cm="1">
        <f t="array" ref="L655">IF(S655&lt;&gt;0, HEX2DEC(Reverse(S655))-$I655,"")</f>
        <v/>
      </c>
      <c r="M655" s="45" cm="1">
        <f t="array" ref="M655">IF(T655&lt;&gt;0, HEX2DEC(Reverse(T655))-$I655,"")</f>
        <v>284</v>
      </c>
      <c r="O655" s="3">
        <v>1020100</v>
      </c>
      <c r="P655" s="3" t="s">
        <v>114</v>
      </c>
      <c r="Q655" s="3" t="s">
        <v>921</v>
      </c>
      <c r="R655" s="3" t="s">
        <v>1595</v>
      </c>
      <c r="S655" s="3">
        <v>0</v>
      </c>
      <c r="T655" s="3" t="s">
        <v>1577</v>
      </c>
      <c r="U655" s="3"/>
      <c r="V655" s="4"/>
    </row>
    <row r="656" spans="1:22" x14ac:dyDescent="0.2">
      <c r="A656" s="20" t="s">
        <v>744</v>
      </c>
      <c r="B656" s="20">
        <v>3895</v>
      </c>
      <c r="C656" s="21" t="s">
        <v>1</v>
      </c>
      <c r="D656" s="21" t="s">
        <v>2</v>
      </c>
      <c r="E656" s="21" t="s">
        <v>90</v>
      </c>
      <c r="F656" s="21" t="s">
        <v>94</v>
      </c>
      <c r="G656" s="21" t="s">
        <v>1778</v>
      </c>
      <c r="H656" s="22" t="str" cm="1">
        <f t="array" ref="H656">Reverse2_6(O656)</f>
        <v>00-010201</v>
      </c>
      <c r="I656" s="45" cm="1">
        <f t="array" ref="I656">HEX2DEC(Reverse(P656))</f>
        <v>93631153</v>
      </c>
      <c r="J656" s="45" cm="1">
        <f t="array" ref="J656">IF(Q656&lt;&gt;0, HEX2DEC(Reverse(Q656))-$I656,"")</f>
        <v>30</v>
      </c>
      <c r="K656" s="45" cm="1">
        <f t="array" ref="K656">IF(R656&lt;&gt;0, HEX2DEC(Reverse(R656))-$I656,"")</f>
        <v>294</v>
      </c>
      <c r="L656" s="45" t="str" cm="1">
        <f t="array" ref="L656">IF(S656&lt;&gt;0, HEX2DEC(Reverse(S656))-$I656,"")</f>
        <v/>
      </c>
      <c r="M656" s="45" cm="1">
        <f t="array" ref="M656">IF(T656&lt;&gt;0, HEX2DEC(Reverse(T656))-$I656,"")</f>
        <v>285</v>
      </c>
      <c r="O656" s="3">
        <v>1020100</v>
      </c>
      <c r="P656" s="3" t="s">
        <v>114</v>
      </c>
      <c r="Q656" s="3" t="s">
        <v>921</v>
      </c>
      <c r="R656" s="3" t="s">
        <v>1598</v>
      </c>
      <c r="S656" s="3">
        <v>0</v>
      </c>
      <c r="T656" s="3" t="s">
        <v>1578</v>
      </c>
      <c r="U656" s="3"/>
      <c r="V656" s="4"/>
    </row>
    <row r="657" spans="1:22" x14ac:dyDescent="0.2">
      <c r="A657" s="20" t="s">
        <v>745</v>
      </c>
      <c r="B657" s="20">
        <v>3896</v>
      </c>
      <c r="C657" s="21" t="s">
        <v>1</v>
      </c>
      <c r="D657" s="21" t="s">
        <v>2</v>
      </c>
      <c r="E657" s="21" t="s">
        <v>90</v>
      </c>
      <c r="F657" s="21" t="s">
        <v>94</v>
      </c>
      <c r="G657" s="21" t="s">
        <v>1778</v>
      </c>
      <c r="H657" s="22" t="str" cm="1">
        <f t="array" ref="H657">Reverse2_6(O657)</f>
        <v>00-010201</v>
      </c>
      <c r="I657" s="45" cm="1">
        <f t="array" ref="I657">HEX2DEC(Reverse(P657))</f>
        <v>93631153</v>
      </c>
      <c r="J657" s="45" cm="1">
        <f t="array" ref="J657">IF(Q657&lt;&gt;0, HEX2DEC(Reverse(Q657))-$I657,"")</f>
        <v>30</v>
      </c>
      <c r="K657" s="45" cm="1">
        <f t="array" ref="K657">IF(R657&lt;&gt;0, HEX2DEC(Reverse(R657))-$I657,"")</f>
        <v>295</v>
      </c>
      <c r="L657" s="45" t="str" cm="1">
        <f t="array" ref="L657">IF(S657&lt;&gt;0, HEX2DEC(Reverse(S657))-$I657,"")</f>
        <v/>
      </c>
      <c r="M657" s="45" cm="1">
        <f t="array" ref="M657">IF(T657&lt;&gt;0, HEX2DEC(Reverse(T657))-$I657,"")</f>
        <v>286</v>
      </c>
      <c r="O657" s="3">
        <v>1020100</v>
      </c>
      <c r="P657" s="3" t="s">
        <v>114</v>
      </c>
      <c r="Q657" s="3" t="s">
        <v>921</v>
      </c>
      <c r="R657" s="3" t="s">
        <v>1601</v>
      </c>
      <c r="S657" s="3">
        <v>0</v>
      </c>
      <c r="T657" s="3" t="s">
        <v>1579</v>
      </c>
      <c r="U657" s="3"/>
      <c r="V657" s="4"/>
    </row>
    <row r="658" spans="1:22" x14ac:dyDescent="0.2">
      <c r="A658" s="20" t="s">
        <v>746</v>
      </c>
      <c r="B658" s="20">
        <v>3897</v>
      </c>
      <c r="C658" s="21" t="s">
        <v>1</v>
      </c>
      <c r="D658" s="21" t="s">
        <v>2</v>
      </c>
      <c r="E658" s="21" t="s">
        <v>90</v>
      </c>
      <c r="F658" s="21" t="s">
        <v>94</v>
      </c>
      <c r="G658" s="21" t="s">
        <v>1778</v>
      </c>
      <c r="H658" s="22" t="str" cm="1">
        <f t="array" ref="H658">Reverse2_6(O658)</f>
        <v>00-010201</v>
      </c>
      <c r="I658" s="45" cm="1">
        <f t="array" ref="I658">HEX2DEC(Reverse(P658))</f>
        <v>93631153</v>
      </c>
      <c r="J658" s="45" cm="1">
        <f t="array" ref="J658">IF(Q658&lt;&gt;0, HEX2DEC(Reverse(Q658))-$I658,"")</f>
        <v>30</v>
      </c>
      <c r="K658" s="45" cm="1">
        <f t="array" ref="K658">IF(R658&lt;&gt;0, HEX2DEC(Reverse(R658))-$I658,"")</f>
        <v>296</v>
      </c>
      <c r="L658" s="45" t="str" cm="1">
        <f t="array" ref="L658">IF(S658&lt;&gt;0, HEX2DEC(Reverse(S658))-$I658,"")</f>
        <v/>
      </c>
      <c r="M658" s="45" cm="1">
        <f t="array" ref="M658">IF(T658&lt;&gt;0, HEX2DEC(Reverse(T658))-$I658,"")</f>
        <v>287</v>
      </c>
      <c r="O658" s="3">
        <v>1020100</v>
      </c>
      <c r="P658" s="3" t="s">
        <v>114</v>
      </c>
      <c r="Q658" s="3" t="s">
        <v>921</v>
      </c>
      <c r="R658" s="3" t="s">
        <v>1604</v>
      </c>
      <c r="S658" s="3">
        <v>0</v>
      </c>
      <c r="T658" s="3" t="s">
        <v>1580</v>
      </c>
      <c r="U658" s="3"/>
      <c r="V658" s="4"/>
    </row>
    <row r="659" spans="1:22" x14ac:dyDescent="0.2">
      <c r="A659" s="16" t="s">
        <v>747</v>
      </c>
      <c r="B659" s="16">
        <v>3898</v>
      </c>
      <c r="C659" s="15" t="s">
        <v>2</v>
      </c>
      <c r="D659" s="15" t="s">
        <v>1</v>
      </c>
      <c r="E659" s="15" t="s">
        <v>92</v>
      </c>
      <c r="F659" s="15" t="s">
        <v>96</v>
      </c>
      <c r="G659" s="15"/>
      <c r="H659" s="17" t="str" cm="1">
        <f t="array" ref="H659">Reverse2_6(O659)</f>
        <v>00-010101</v>
      </c>
      <c r="I659" s="18" cm="1">
        <f t="array" ref="I659">HEX2DEC(Reverse(P659))</f>
        <v>93631153</v>
      </c>
      <c r="J659" s="18" cm="1">
        <f t="array" ref="J659">IF(Q659&lt;&gt;0, HEX2DEC(Reverse(Q659))-$I659,"")</f>
        <v>297</v>
      </c>
      <c r="K659" s="18" cm="1">
        <f t="array" ref="K659">IF(R659&lt;&gt;0, HEX2DEC(Reverse(R659))-$I659,"")</f>
        <v>30</v>
      </c>
      <c r="L659" s="18" cm="1">
        <f t="array" ref="L659">IF(S659&lt;&gt;0, HEX2DEC(Reverse(S659))-$I659,"")</f>
        <v>288</v>
      </c>
      <c r="M659" s="18" cm="1">
        <f t="array" ref="M659">IF(T659&lt;&gt;0, HEX2DEC(Reverse(T659))-$I659,"")</f>
        <v>30</v>
      </c>
      <c r="O659" s="3">
        <v>1010100</v>
      </c>
      <c r="P659" s="3" t="s">
        <v>114</v>
      </c>
      <c r="Q659" s="3" t="s">
        <v>1607</v>
      </c>
      <c r="R659" s="12" t="s">
        <v>921</v>
      </c>
      <c r="S659" s="3" t="s">
        <v>1581</v>
      </c>
      <c r="T659" s="12" t="s">
        <v>921</v>
      </c>
      <c r="U659" s="3" t="s">
        <v>1608</v>
      </c>
      <c r="V659" s="4" t="s">
        <v>1609</v>
      </c>
    </row>
    <row r="660" spans="1:22" x14ac:dyDescent="0.2">
      <c r="A660" s="16" t="s">
        <v>748</v>
      </c>
      <c r="B660" s="16">
        <v>3899</v>
      </c>
      <c r="C660" s="15" t="s">
        <v>2</v>
      </c>
      <c r="D660" s="15" t="s">
        <v>1</v>
      </c>
      <c r="E660" s="15" t="s">
        <v>92</v>
      </c>
      <c r="F660" s="15" t="s">
        <v>96</v>
      </c>
      <c r="G660" s="15"/>
      <c r="H660" s="17" t="str" cm="1">
        <f t="array" ref="H660">Reverse2_6(O660)</f>
        <v>00-010101</v>
      </c>
      <c r="I660" s="18" cm="1">
        <f t="array" ref="I660">HEX2DEC(Reverse(P660))</f>
        <v>93631153</v>
      </c>
      <c r="J660" s="18" cm="1">
        <f t="array" ref="J660">IF(Q660&lt;&gt;0, HEX2DEC(Reverse(Q660))-$I660,"")</f>
        <v>298</v>
      </c>
      <c r="K660" s="18" cm="1">
        <f t="array" ref="K660">IF(R660&lt;&gt;0, HEX2DEC(Reverse(R660))-$I660,"")</f>
        <v>30</v>
      </c>
      <c r="L660" s="18" cm="1">
        <f t="array" ref="L660">IF(S660&lt;&gt;0, HEX2DEC(Reverse(S660))-$I660,"")</f>
        <v>289</v>
      </c>
      <c r="M660" s="18" cm="1">
        <f t="array" ref="M660">IF(T660&lt;&gt;0, HEX2DEC(Reverse(T660))-$I660,"")</f>
        <v>30</v>
      </c>
      <c r="O660" s="3">
        <v>1010100</v>
      </c>
      <c r="P660" s="3" t="s">
        <v>114</v>
      </c>
      <c r="Q660" s="3" t="s">
        <v>1610</v>
      </c>
      <c r="R660" s="12" t="s">
        <v>921</v>
      </c>
      <c r="S660" s="3" t="s">
        <v>1583</v>
      </c>
      <c r="T660" s="12" t="s">
        <v>921</v>
      </c>
      <c r="U660" s="3" t="s">
        <v>1611</v>
      </c>
      <c r="V660" s="4" t="s">
        <v>1612</v>
      </c>
    </row>
    <row r="661" spans="1:22" x14ac:dyDescent="0.2">
      <c r="A661" s="16" t="s">
        <v>749</v>
      </c>
      <c r="B661" s="16">
        <v>3900</v>
      </c>
      <c r="C661" s="15" t="s">
        <v>2</v>
      </c>
      <c r="D661" s="15" t="s">
        <v>1</v>
      </c>
      <c r="E661" s="15" t="s">
        <v>92</v>
      </c>
      <c r="F661" s="15" t="s">
        <v>96</v>
      </c>
      <c r="G661" s="15"/>
      <c r="H661" s="17" t="str" cm="1">
        <f t="array" ref="H661">Reverse2_6(O661)</f>
        <v>00-010101</v>
      </c>
      <c r="I661" s="18" cm="1">
        <f t="array" ref="I661">HEX2DEC(Reverse(P661))</f>
        <v>93631153</v>
      </c>
      <c r="J661" s="18" cm="1">
        <f t="array" ref="J661">IF(Q661&lt;&gt;0, HEX2DEC(Reverse(Q661))-$I661,"")</f>
        <v>299</v>
      </c>
      <c r="K661" s="18" cm="1">
        <f t="array" ref="K661">IF(R661&lt;&gt;0, HEX2DEC(Reverse(R661))-$I661,"")</f>
        <v>30</v>
      </c>
      <c r="L661" s="18" cm="1">
        <f t="array" ref="L661">IF(S661&lt;&gt;0, HEX2DEC(Reverse(S661))-$I661,"")</f>
        <v>290</v>
      </c>
      <c r="M661" s="18" cm="1">
        <f t="array" ref="M661">IF(T661&lt;&gt;0, HEX2DEC(Reverse(T661))-$I661,"")</f>
        <v>30</v>
      </c>
      <c r="O661" s="3">
        <v>1010100</v>
      </c>
      <c r="P661" s="3" t="s">
        <v>114</v>
      </c>
      <c r="Q661" s="3" t="s">
        <v>1613</v>
      </c>
      <c r="R661" s="12" t="s">
        <v>921</v>
      </c>
      <c r="S661" s="3" t="s">
        <v>1586</v>
      </c>
      <c r="T661" s="12" t="s">
        <v>921</v>
      </c>
      <c r="U661" s="3" t="s">
        <v>1614</v>
      </c>
      <c r="V661" s="4" t="s">
        <v>1615</v>
      </c>
    </row>
    <row r="662" spans="1:22" x14ac:dyDescent="0.2">
      <c r="A662" s="16" t="s">
        <v>750</v>
      </c>
      <c r="B662" s="16">
        <v>3901</v>
      </c>
      <c r="C662" s="15" t="s">
        <v>2</v>
      </c>
      <c r="D662" s="15" t="s">
        <v>1</v>
      </c>
      <c r="E662" s="15" t="s">
        <v>92</v>
      </c>
      <c r="F662" s="15" t="s">
        <v>96</v>
      </c>
      <c r="G662" s="15"/>
      <c r="H662" s="17" t="str" cm="1">
        <f t="array" ref="H662">Reverse2_6(O662)</f>
        <v>00-010101</v>
      </c>
      <c r="I662" s="18" cm="1">
        <f t="array" ref="I662">HEX2DEC(Reverse(P662))</f>
        <v>93631153</v>
      </c>
      <c r="J662" s="18" cm="1">
        <f t="array" ref="J662">IF(Q662&lt;&gt;0, HEX2DEC(Reverse(Q662))-$I662,"")</f>
        <v>300</v>
      </c>
      <c r="K662" s="18" cm="1">
        <f t="array" ref="K662">IF(R662&lt;&gt;0, HEX2DEC(Reverse(R662))-$I662,"")</f>
        <v>30</v>
      </c>
      <c r="L662" s="18" cm="1">
        <f t="array" ref="L662">IF(S662&lt;&gt;0, HEX2DEC(Reverse(S662))-$I662,"")</f>
        <v>291</v>
      </c>
      <c r="M662" s="18" cm="1">
        <f t="array" ref="M662">IF(T662&lt;&gt;0, HEX2DEC(Reverse(T662))-$I662,"")</f>
        <v>30</v>
      </c>
      <c r="O662" s="3">
        <v>1010100</v>
      </c>
      <c r="P662" s="3" t="s">
        <v>114</v>
      </c>
      <c r="Q662" s="3" t="s">
        <v>1616</v>
      </c>
      <c r="R662" s="12" t="s">
        <v>921</v>
      </c>
      <c r="S662" s="3" t="s">
        <v>1589</v>
      </c>
      <c r="T662" s="12" t="s">
        <v>921</v>
      </c>
      <c r="U662" s="3" t="s">
        <v>1617</v>
      </c>
      <c r="V662" s="4" t="s">
        <v>1618</v>
      </c>
    </row>
    <row r="663" spans="1:22" x14ac:dyDescent="0.2">
      <c r="A663" s="16" t="s">
        <v>751</v>
      </c>
      <c r="B663" s="16">
        <v>3902</v>
      </c>
      <c r="C663" s="15" t="s">
        <v>2</v>
      </c>
      <c r="D663" s="15" t="s">
        <v>1</v>
      </c>
      <c r="E663" s="15" t="s">
        <v>92</v>
      </c>
      <c r="F663" s="15" t="s">
        <v>96</v>
      </c>
      <c r="G663" s="15"/>
      <c r="H663" s="17" t="str" cm="1">
        <f t="array" ref="H663">Reverse2_6(O663)</f>
        <v>00-010101</v>
      </c>
      <c r="I663" s="18" cm="1">
        <f t="array" ref="I663">HEX2DEC(Reverse(P663))</f>
        <v>93631153</v>
      </c>
      <c r="J663" s="18" cm="1">
        <f t="array" ref="J663">IF(Q663&lt;&gt;0, HEX2DEC(Reverse(Q663))-$I663,"")</f>
        <v>301</v>
      </c>
      <c r="K663" s="18" cm="1">
        <f t="array" ref="K663">IF(R663&lt;&gt;0, HEX2DEC(Reverse(R663))-$I663,"")</f>
        <v>30</v>
      </c>
      <c r="L663" s="18" cm="1">
        <f t="array" ref="L663">IF(S663&lt;&gt;0, HEX2DEC(Reverse(S663))-$I663,"")</f>
        <v>292</v>
      </c>
      <c r="M663" s="18" cm="1">
        <f t="array" ref="M663">IF(T663&lt;&gt;0, HEX2DEC(Reverse(T663))-$I663,"")</f>
        <v>30</v>
      </c>
      <c r="O663" s="3">
        <v>1010100</v>
      </c>
      <c r="P663" s="3" t="s">
        <v>114</v>
      </c>
      <c r="Q663" s="3" t="s">
        <v>1619</v>
      </c>
      <c r="R663" s="12" t="s">
        <v>921</v>
      </c>
      <c r="S663" s="3" t="s">
        <v>1592</v>
      </c>
      <c r="T663" s="12" t="s">
        <v>921</v>
      </c>
      <c r="U663" s="3" t="s">
        <v>1620</v>
      </c>
      <c r="V663" s="4" t="s">
        <v>1621</v>
      </c>
    </row>
    <row r="664" spans="1:22" x14ac:dyDescent="0.2">
      <c r="A664" s="20" t="s">
        <v>752</v>
      </c>
      <c r="B664" s="20">
        <v>3903</v>
      </c>
      <c r="C664" s="21" t="s">
        <v>1</v>
      </c>
      <c r="D664" s="21" t="s">
        <v>2</v>
      </c>
      <c r="E664" s="21" t="s">
        <v>90</v>
      </c>
      <c r="F664" s="21" t="s">
        <v>94</v>
      </c>
      <c r="G664" s="21" t="s">
        <v>1778</v>
      </c>
      <c r="H664" s="22" t="str" cm="1">
        <f t="array" ref="H664">Reverse2_6(O664)</f>
        <v>00-010201</v>
      </c>
      <c r="I664" s="45" cm="1">
        <f t="array" ref="I664">HEX2DEC(Reverse(P664))</f>
        <v>93631153</v>
      </c>
      <c r="J664" s="45" cm="1">
        <f t="array" ref="J664">IF(Q664&lt;&gt;0, HEX2DEC(Reverse(Q664))-$I664,"")</f>
        <v>30</v>
      </c>
      <c r="K664" s="45" cm="1">
        <f t="array" ref="K664">IF(R664&lt;&gt;0, HEX2DEC(Reverse(R664))-$I664,"")</f>
        <v>297</v>
      </c>
      <c r="L664" s="45" t="str" cm="1">
        <f t="array" ref="L664">IF(S664&lt;&gt;0, HEX2DEC(Reverse(S664))-$I664,"")</f>
        <v/>
      </c>
      <c r="M664" s="45" cm="1">
        <f t="array" ref="M664">IF(T664&lt;&gt;0, HEX2DEC(Reverse(T664))-$I664,"")</f>
        <v>288</v>
      </c>
      <c r="O664" s="3">
        <v>1020100</v>
      </c>
      <c r="P664" s="3" t="s">
        <v>114</v>
      </c>
      <c r="Q664" s="3" t="s">
        <v>921</v>
      </c>
      <c r="R664" s="3" t="s">
        <v>1607</v>
      </c>
      <c r="S664" s="3">
        <v>0</v>
      </c>
      <c r="T664" s="3" t="s">
        <v>1581</v>
      </c>
      <c r="U664" s="3"/>
      <c r="V664" s="4"/>
    </row>
    <row r="665" spans="1:22" x14ac:dyDescent="0.2">
      <c r="A665" s="20" t="s">
        <v>753</v>
      </c>
      <c r="B665" s="20">
        <v>3904</v>
      </c>
      <c r="C665" s="21" t="s">
        <v>1</v>
      </c>
      <c r="D665" s="21" t="s">
        <v>2</v>
      </c>
      <c r="E665" s="21" t="s">
        <v>90</v>
      </c>
      <c r="F665" s="21" t="s">
        <v>94</v>
      </c>
      <c r="G665" s="21" t="s">
        <v>1778</v>
      </c>
      <c r="H665" s="22" t="str" cm="1">
        <f t="array" ref="H665">Reverse2_6(O665)</f>
        <v>00-010201</v>
      </c>
      <c r="I665" s="45" cm="1">
        <f t="array" ref="I665">HEX2DEC(Reverse(P665))</f>
        <v>93631153</v>
      </c>
      <c r="J665" s="45" cm="1">
        <f t="array" ref="J665">IF(Q665&lt;&gt;0, HEX2DEC(Reverse(Q665))-$I665,"")</f>
        <v>30</v>
      </c>
      <c r="K665" s="45" cm="1">
        <f t="array" ref="K665">IF(R665&lt;&gt;0, HEX2DEC(Reverse(R665))-$I665,"")</f>
        <v>298</v>
      </c>
      <c r="L665" s="45" t="str" cm="1">
        <f t="array" ref="L665">IF(S665&lt;&gt;0, HEX2DEC(Reverse(S665))-$I665,"")</f>
        <v/>
      </c>
      <c r="M665" s="45" cm="1">
        <f t="array" ref="M665">IF(T665&lt;&gt;0, HEX2DEC(Reverse(T665))-$I665,"")</f>
        <v>289</v>
      </c>
      <c r="O665" s="3">
        <v>1020100</v>
      </c>
      <c r="P665" s="3" t="s">
        <v>114</v>
      </c>
      <c r="Q665" s="3" t="s">
        <v>921</v>
      </c>
      <c r="R665" s="3" t="s">
        <v>1610</v>
      </c>
      <c r="S665" s="3">
        <v>0</v>
      </c>
      <c r="T665" s="3" t="s">
        <v>1583</v>
      </c>
      <c r="U665" s="3"/>
      <c r="V665" s="4"/>
    </row>
    <row r="666" spans="1:22" x14ac:dyDescent="0.2">
      <c r="A666" s="20" t="s">
        <v>754</v>
      </c>
      <c r="B666" s="20">
        <v>3905</v>
      </c>
      <c r="C666" s="21" t="s">
        <v>1</v>
      </c>
      <c r="D666" s="21" t="s">
        <v>2</v>
      </c>
      <c r="E666" s="21" t="s">
        <v>90</v>
      </c>
      <c r="F666" s="21" t="s">
        <v>94</v>
      </c>
      <c r="G666" s="21" t="s">
        <v>1778</v>
      </c>
      <c r="H666" s="22" t="str" cm="1">
        <f t="array" ref="H666">Reverse2_6(O666)</f>
        <v>00-010201</v>
      </c>
      <c r="I666" s="45" cm="1">
        <f t="array" ref="I666">HEX2DEC(Reverse(P666))</f>
        <v>93631153</v>
      </c>
      <c r="J666" s="45" cm="1">
        <f t="array" ref="J666">IF(Q666&lt;&gt;0, HEX2DEC(Reverse(Q666))-$I666,"")</f>
        <v>30</v>
      </c>
      <c r="K666" s="45" cm="1">
        <f t="array" ref="K666">IF(R666&lt;&gt;0, HEX2DEC(Reverse(R666))-$I666,"")</f>
        <v>299</v>
      </c>
      <c r="L666" s="45" t="str" cm="1">
        <f t="array" ref="L666">IF(S666&lt;&gt;0, HEX2DEC(Reverse(S666))-$I666,"")</f>
        <v/>
      </c>
      <c r="M666" s="45" cm="1">
        <f t="array" ref="M666">IF(T666&lt;&gt;0, HEX2DEC(Reverse(T666))-$I666,"")</f>
        <v>290</v>
      </c>
      <c r="O666" s="3">
        <v>1020100</v>
      </c>
      <c r="P666" s="3" t="s">
        <v>114</v>
      </c>
      <c r="Q666" s="3" t="s">
        <v>921</v>
      </c>
      <c r="R666" s="3" t="s">
        <v>1613</v>
      </c>
      <c r="S666" s="3">
        <v>0</v>
      </c>
      <c r="T666" s="3" t="s">
        <v>1586</v>
      </c>
      <c r="U666" s="3"/>
      <c r="V666" s="4"/>
    </row>
    <row r="667" spans="1:22" x14ac:dyDescent="0.2">
      <c r="A667" s="20" t="s">
        <v>755</v>
      </c>
      <c r="B667" s="20">
        <v>3906</v>
      </c>
      <c r="C667" s="21" t="s">
        <v>1</v>
      </c>
      <c r="D667" s="21" t="s">
        <v>2</v>
      </c>
      <c r="E667" s="21" t="s">
        <v>90</v>
      </c>
      <c r="F667" s="21" t="s">
        <v>94</v>
      </c>
      <c r="G667" s="21" t="s">
        <v>1778</v>
      </c>
      <c r="H667" s="22" t="str" cm="1">
        <f t="array" ref="H667">Reverse2_6(O667)</f>
        <v>00-010201</v>
      </c>
      <c r="I667" s="45" cm="1">
        <f t="array" ref="I667">HEX2DEC(Reverse(P667))</f>
        <v>93631153</v>
      </c>
      <c r="J667" s="45" cm="1">
        <f t="array" ref="J667">IF(Q667&lt;&gt;0, HEX2DEC(Reverse(Q667))-$I667,"")</f>
        <v>30</v>
      </c>
      <c r="K667" s="45" cm="1">
        <f t="array" ref="K667">IF(R667&lt;&gt;0, HEX2DEC(Reverse(R667))-$I667,"")</f>
        <v>300</v>
      </c>
      <c r="L667" s="45" t="str" cm="1">
        <f t="array" ref="L667">IF(S667&lt;&gt;0, HEX2DEC(Reverse(S667))-$I667,"")</f>
        <v/>
      </c>
      <c r="M667" s="45" cm="1">
        <f t="array" ref="M667">IF(T667&lt;&gt;0, HEX2DEC(Reverse(T667))-$I667,"")</f>
        <v>291</v>
      </c>
      <c r="O667" s="3">
        <v>1020100</v>
      </c>
      <c r="P667" s="3" t="s">
        <v>114</v>
      </c>
      <c r="Q667" s="3" t="s">
        <v>921</v>
      </c>
      <c r="R667" s="3" t="s">
        <v>1616</v>
      </c>
      <c r="S667" s="3">
        <v>0</v>
      </c>
      <c r="T667" s="3" t="s">
        <v>1589</v>
      </c>
      <c r="U667" s="3"/>
      <c r="V667" s="4"/>
    </row>
    <row r="668" spans="1:22" x14ac:dyDescent="0.2">
      <c r="A668" s="20" t="s">
        <v>756</v>
      </c>
      <c r="B668" s="20">
        <v>3907</v>
      </c>
      <c r="C668" s="21" t="s">
        <v>1</v>
      </c>
      <c r="D668" s="21" t="s">
        <v>2</v>
      </c>
      <c r="E668" s="21" t="s">
        <v>90</v>
      </c>
      <c r="F668" s="21" t="s">
        <v>94</v>
      </c>
      <c r="G668" s="21" t="s">
        <v>1778</v>
      </c>
      <c r="H668" s="22" t="str" cm="1">
        <f t="array" ref="H668">Reverse2_6(O668)</f>
        <v>00-010201</v>
      </c>
      <c r="I668" s="45" cm="1">
        <f t="array" ref="I668">HEX2DEC(Reverse(P668))</f>
        <v>93631153</v>
      </c>
      <c r="J668" s="45" cm="1">
        <f t="array" ref="J668">IF(Q668&lt;&gt;0, HEX2DEC(Reverse(Q668))-$I668,"")</f>
        <v>30</v>
      </c>
      <c r="K668" s="45" cm="1">
        <f t="array" ref="K668">IF(R668&lt;&gt;0, HEX2DEC(Reverse(R668))-$I668,"")</f>
        <v>301</v>
      </c>
      <c r="L668" s="45" t="str" cm="1">
        <f t="array" ref="L668">IF(S668&lt;&gt;0, HEX2DEC(Reverse(S668))-$I668,"")</f>
        <v/>
      </c>
      <c r="M668" s="45" cm="1">
        <f t="array" ref="M668">IF(T668&lt;&gt;0, HEX2DEC(Reverse(T668))-$I668,"")</f>
        <v>292</v>
      </c>
      <c r="O668" s="3">
        <v>1020100</v>
      </c>
      <c r="P668" s="3" t="s">
        <v>114</v>
      </c>
      <c r="Q668" s="3" t="s">
        <v>921</v>
      </c>
      <c r="R668" s="3" t="s">
        <v>1619</v>
      </c>
      <c r="S668" s="3">
        <v>0</v>
      </c>
      <c r="T668" s="3" t="s">
        <v>1592</v>
      </c>
      <c r="U668" s="3"/>
      <c r="V668" s="4"/>
    </row>
    <row r="669" spans="1:22" x14ac:dyDescent="0.2">
      <c r="A669" s="16" t="s">
        <v>757</v>
      </c>
      <c r="B669" s="16">
        <v>3908</v>
      </c>
      <c r="C669" s="15" t="s">
        <v>2</v>
      </c>
      <c r="D669" s="15" t="s">
        <v>1</v>
      </c>
      <c r="E669" s="15" t="s">
        <v>92</v>
      </c>
      <c r="F669" s="15" t="s">
        <v>96</v>
      </c>
      <c r="G669" s="15"/>
      <c r="H669" s="17" t="str" cm="1">
        <f t="array" ref="H669">Reverse2_6(O669)</f>
        <v>00-010101</v>
      </c>
      <c r="I669" s="18" cm="1">
        <f t="array" ref="I669">HEX2DEC(Reverse(P669))</f>
        <v>93631153</v>
      </c>
      <c r="J669" s="18" cm="1">
        <f t="array" ref="J669">IF(Q669&lt;&gt;0, HEX2DEC(Reverse(Q669))-$I669,"")</f>
        <v>302</v>
      </c>
      <c r="K669" s="18" cm="1">
        <f t="array" ref="K669">IF(R669&lt;&gt;0, HEX2DEC(Reverse(R669))-$I669,"")</f>
        <v>30</v>
      </c>
      <c r="L669" s="18" cm="1">
        <f t="array" ref="L669">IF(S669&lt;&gt;0, HEX2DEC(Reverse(S669))-$I669,"")</f>
        <v>293</v>
      </c>
      <c r="M669" s="18" cm="1">
        <f t="array" ref="M669">IF(T669&lt;&gt;0, HEX2DEC(Reverse(T669))-$I669,"")</f>
        <v>30</v>
      </c>
      <c r="O669" s="3">
        <v>1010100</v>
      </c>
      <c r="P669" s="3" t="s">
        <v>114</v>
      </c>
      <c r="Q669" s="3" t="s">
        <v>1622</v>
      </c>
      <c r="R669" s="12" t="s">
        <v>921</v>
      </c>
      <c r="S669" s="3" t="s">
        <v>1595</v>
      </c>
      <c r="T669" s="12" t="s">
        <v>921</v>
      </c>
      <c r="U669" s="3" t="s">
        <v>1623</v>
      </c>
      <c r="V669" s="4" t="s">
        <v>1624</v>
      </c>
    </row>
    <row r="670" spans="1:22" x14ac:dyDescent="0.2">
      <c r="A670" s="16" t="s">
        <v>758</v>
      </c>
      <c r="B670" s="16">
        <v>3909</v>
      </c>
      <c r="C670" s="15" t="s">
        <v>2</v>
      </c>
      <c r="D670" s="15" t="s">
        <v>1</v>
      </c>
      <c r="E670" s="15" t="s">
        <v>92</v>
      </c>
      <c r="F670" s="15" t="s">
        <v>96</v>
      </c>
      <c r="G670" s="15"/>
      <c r="H670" s="17" t="str" cm="1">
        <f t="array" ref="H670">Reverse2_6(O670)</f>
        <v>00-010101</v>
      </c>
      <c r="I670" s="18" cm="1">
        <f t="array" ref="I670">HEX2DEC(Reverse(P670))</f>
        <v>93631153</v>
      </c>
      <c r="J670" s="18" cm="1">
        <f t="array" ref="J670">IF(Q670&lt;&gt;0, HEX2DEC(Reverse(Q670))-$I670,"")</f>
        <v>303</v>
      </c>
      <c r="K670" s="18" cm="1">
        <f t="array" ref="K670">IF(R670&lt;&gt;0, HEX2DEC(Reverse(R670))-$I670,"")</f>
        <v>30</v>
      </c>
      <c r="L670" s="18" cm="1">
        <f t="array" ref="L670">IF(S670&lt;&gt;0, HEX2DEC(Reverse(S670))-$I670,"")</f>
        <v>294</v>
      </c>
      <c r="M670" s="18" cm="1">
        <f t="array" ref="M670">IF(T670&lt;&gt;0, HEX2DEC(Reverse(T670))-$I670,"")</f>
        <v>30</v>
      </c>
      <c r="O670" s="3">
        <v>1010100</v>
      </c>
      <c r="P670" s="3" t="s">
        <v>114</v>
      </c>
      <c r="Q670" s="3" t="s">
        <v>1625</v>
      </c>
      <c r="R670" s="12" t="s">
        <v>921</v>
      </c>
      <c r="S670" s="3" t="s">
        <v>1598</v>
      </c>
      <c r="T670" s="12" t="s">
        <v>921</v>
      </c>
      <c r="U670" s="3" t="s">
        <v>1626</v>
      </c>
      <c r="V670" s="4" t="s">
        <v>1627</v>
      </c>
    </row>
    <row r="671" spans="1:22" x14ac:dyDescent="0.2">
      <c r="A671" s="16" t="s">
        <v>759</v>
      </c>
      <c r="B671" s="16">
        <v>3910</v>
      </c>
      <c r="C671" s="15" t="s">
        <v>2</v>
      </c>
      <c r="D671" s="15" t="s">
        <v>1</v>
      </c>
      <c r="E671" s="15" t="s">
        <v>92</v>
      </c>
      <c r="F671" s="15" t="s">
        <v>96</v>
      </c>
      <c r="G671" s="15"/>
      <c r="H671" s="17" t="str" cm="1">
        <f t="array" ref="H671">Reverse2_6(O671)</f>
        <v>00-010101</v>
      </c>
      <c r="I671" s="18" cm="1">
        <f t="array" ref="I671">HEX2DEC(Reverse(P671))</f>
        <v>93631153</v>
      </c>
      <c r="J671" s="18" cm="1">
        <f t="array" ref="J671">IF(Q671&lt;&gt;0, HEX2DEC(Reverse(Q671))-$I671,"")</f>
        <v>304</v>
      </c>
      <c r="K671" s="18" cm="1">
        <f t="array" ref="K671">IF(R671&lt;&gt;0, HEX2DEC(Reverse(R671))-$I671,"")</f>
        <v>30</v>
      </c>
      <c r="L671" s="18" cm="1">
        <f t="array" ref="L671">IF(S671&lt;&gt;0, HEX2DEC(Reverse(S671))-$I671,"")</f>
        <v>295</v>
      </c>
      <c r="M671" s="18" cm="1">
        <f t="array" ref="M671">IF(T671&lt;&gt;0, HEX2DEC(Reverse(T671))-$I671,"")</f>
        <v>30</v>
      </c>
      <c r="O671" s="3">
        <v>1010100</v>
      </c>
      <c r="P671" s="3" t="s">
        <v>114</v>
      </c>
      <c r="Q671" s="3" t="s">
        <v>1628</v>
      </c>
      <c r="R671" s="12" t="s">
        <v>921</v>
      </c>
      <c r="S671" s="3" t="s">
        <v>1601</v>
      </c>
      <c r="T671" s="12" t="s">
        <v>921</v>
      </c>
      <c r="U671" s="3" t="s">
        <v>1629</v>
      </c>
      <c r="V671" s="4" t="s">
        <v>1630</v>
      </c>
    </row>
    <row r="672" spans="1:22" x14ac:dyDescent="0.2">
      <c r="A672" s="16" t="s">
        <v>760</v>
      </c>
      <c r="B672" s="16">
        <v>3911</v>
      </c>
      <c r="C672" s="15" t="s">
        <v>2</v>
      </c>
      <c r="D672" s="15" t="s">
        <v>1</v>
      </c>
      <c r="E672" s="15" t="s">
        <v>92</v>
      </c>
      <c r="F672" s="15" t="s">
        <v>96</v>
      </c>
      <c r="G672" s="15"/>
      <c r="H672" s="17" t="str" cm="1">
        <f t="array" ref="H672">Reverse2_6(O672)</f>
        <v>00-010101</v>
      </c>
      <c r="I672" s="18" cm="1">
        <f t="array" ref="I672">HEX2DEC(Reverse(P672))</f>
        <v>93631153</v>
      </c>
      <c r="J672" s="18" cm="1">
        <f t="array" ref="J672">IF(Q672&lt;&gt;0, HEX2DEC(Reverse(Q672))-$I672,"")</f>
        <v>305</v>
      </c>
      <c r="K672" s="18" cm="1">
        <f t="array" ref="K672">IF(R672&lt;&gt;0, HEX2DEC(Reverse(R672))-$I672,"")</f>
        <v>30</v>
      </c>
      <c r="L672" s="18" cm="1">
        <f t="array" ref="L672">IF(S672&lt;&gt;0, HEX2DEC(Reverse(S672))-$I672,"")</f>
        <v>296</v>
      </c>
      <c r="M672" s="18" cm="1">
        <f t="array" ref="M672">IF(T672&lt;&gt;0, HEX2DEC(Reverse(T672))-$I672,"")</f>
        <v>30</v>
      </c>
      <c r="O672" s="3">
        <v>1010100</v>
      </c>
      <c r="P672" s="3" t="s">
        <v>114</v>
      </c>
      <c r="Q672" s="3" t="s">
        <v>1631</v>
      </c>
      <c r="R672" s="12" t="s">
        <v>921</v>
      </c>
      <c r="S672" s="3" t="s">
        <v>1604</v>
      </c>
      <c r="T672" s="12" t="s">
        <v>921</v>
      </c>
      <c r="U672" s="3" t="s">
        <v>1632</v>
      </c>
      <c r="V672" s="4" t="s">
        <v>1633</v>
      </c>
    </row>
    <row r="673" spans="1:22" x14ac:dyDescent="0.2">
      <c r="A673" s="16" t="s">
        <v>761</v>
      </c>
      <c r="B673" s="16">
        <v>3912</v>
      </c>
      <c r="C673" s="15" t="s">
        <v>2</v>
      </c>
      <c r="D673" s="15" t="s">
        <v>1</v>
      </c>
      <c r="E673" s="15" t="s">
        <v>92</v>
      </c>
      <c r="F673" s="15" t="s">
        <v>96</v>
      </c>
      <c r="G673" s="15"/>
      <c r="H673" s="17" t="str" cm="1">
        <f t="array" ref="H673">Reverse2_6(O673)</f>
        <v>00-010101</v>
      </c>
      <c r="I673" s="18" cm="1">
        <f t="array" ref="I673">HEX2DEC(Reverse(P673))</f>
        <v>93631153</v>
      </c>
      <c r="J673" s="18" cm="1">
        <f t="array" ref="J673">IF(Q673&lt;&gt;0, HEX2DEC(Reverse(Q673))-$I673,"")</f>
        <v>306</v>
      </c>
      <c r="K673" s="18" cm="1">
        <f t="array" ref="K673">IF(R673&lt;&gt;0, HEX2DEC(Reverse(R673))-$I673,"")</f>
        <v>30</v>
      </c>
      <c r="L673" s="18" cm="1">
        <f t="array" ref="L673">IF(S673&lt;&gt;0, HEX2DEC(Reverse(S673))-$I673,"")</f>
        <v>297</v>
      </c>
      <c r="M673" s="18" cm="1">
        <f t="array" ref="M673">IF(T673&lt;&gt;0, HEX2DEC(Reverse(T673))-$I673,"")</f>
        <v>30</v>
      </c>
      <c r="O673" s="3">
        <v>1010100</v>
      </c>
      <c r="P673" s="3" t="s">
        <v>114</v>
      </c>
      <c r="Q673" s="3" t="s">
        <v>1634</v>
      </c>
      <c r="R673" s="12" t="s">
        <v>921</v>
      </c>
      <c r="S673" s="3" t="s">
        <v>1607</v>
      </c>
      <c r="T673" s="12" t="s">
        <v>921</v>
      </c>
      <c r="U673" s="3" t="s">
        <v>1635</v>
      </c>
      <c r="V673" s="4" t="s">
        <v>1636</v>
      </c>
    </row>
    <row r="674" spans="1:22" x14ac:dyDescent="0.2">
      <c r="A674" s="16" t="s">
        <v>762</v>
      </c>
      <c r="B674" s="16">
        <v>3913</v>
      </c>
      <c r="C674" s="15" t="s">
        <v>2</v>
      </c>
      <c r="D674" s="15" t="s">
        <v>1</v>
      </c>
      <c r="E674" s="15" t="s">
        <v>92</v>
      </c>
      <c r="F674" s="15" t="s">
        <v>96</v>
      </c>
      <c r="G674" s="15"/>
      <c r="H674" s="17" t="str" cm="1">
        <f t="array" ref="H674">Reverse2_6(O674)</f>
        <v>00-010101</v>
      </c>
      <c r="I674" s="18" cm="1">
        <f t="array" ref="I674">HEX2DEC(Reverse(P674))</f>
        <v>93631153</v>
      </c>
      <c r="J674" s="18" cm="1">
        <f t="array" ref="J674">IF(Q674&lt;&gt;0, HEX2DEC(Reverse(Q674))-$I674,"")</f>
        <v>307</v>
      </c>
      <c r="K674" s="18" cm="1">
        <f t="array" ref="K674">IF(R674&lt;&gt;0, HEX2DEC(Reverse(R674))-$I674,"")</f>
        <v>30</v>
      </c>
      <c r="L674" s="18" cm="1">
        <f t="array" ref="L674">IF(S674&lt;&gt;0, HEX2DEC(Reverse(S674))-$I674,"")</f>
        <v>298</v>
      </c>
      <c r="M674" s="18" cm="1">
        <f t="array" ref="M674">IF(T674&lt;&gt;0, HEX2DEC(Reverse(T674))-$I674,"")</f>
        <v>30</v>
      </c>
      <c r="O674" s="3">
        <v>1010100</v>
      </c>
      <c r="P674" s="3" t="s">
        <v>114</v>
      </c>
      <c r="Q674" s="3" t="s">
        <v>1637</v>
      </c>
      <c r="R674" s="12" t="s">
        <v>921</v>
      </c>
      <c r="S674" s="3" t="s">
        <v>1610</v>
      </c>
      <c r="T674" s="12" t="s">
        <v>921</v>
      </c>
      <c r="U674" s="3" t="s">
        <v>1638</v>
      </c>
      <c r="V674" s="4" t="s">
        <v>1639</v>
      </c>
    </row>
    <row r="675" spans="1:22" x14ac:dyDescent="0.2">
      <c r="A675" s="20" t="s">
        <v>763</v>
      </c>
      <c r="B675" s="20">
        <v>3914</v>
      </c>
      <c r="C675" s="21" t="s">
        <v>1</v>
      </c>
      <c r="D675" s="21" t="s">
        <v>2</v>
      </c>
      <c r="E675" s="21" t="s">
        <v>90</v>
      </c>
      <c r="F675" s="21" t="s">
        <v>94</v>
      </c>
      <c r="G675" s="21" t="s">
        <v>1778</v>
      </c>
      <c r="H675" s="22" t="str" cm="1">
        <f t="array" ref="H675">Reverse2_6(O675)</f>
        <v>00-010201</v>
      </c>
      <c r="I675" s="45" cm="1">
        <f t="array" ref="I675">HEX2DEC(Reverse(P675))</f>
        <v>93631153</v>
      </c>
      <c r="J675" s="45" cm="1">
        <f t="array" ref="J675">IF(Q675&lt;&gt;0, HEX2DEC(Reverse(Q675))-$I675,"")</f>
        <v>30</v>
      </c>
      <c r="K675" s="45" cm="1">
        <f t="array" ref="K675">IF(R675&lt;&gt;0, HEX2DEC(Reverse(R675))-$I675,"")</f>
        <v>302</v>
      </c>
      <c r="L675" s="45" t="str" cm="1">
        <f t="array" ref="L675">IF(S675&lt;&gt;0, HEX2DEC(Reverse(S675))-$I675,"")</f>
        <v/>
      </c>
      <c r="M675" s="45" cm="1">
        <f t="array" ref="M675">IF(T675&lt;&gt;0, HEX2DEC(Reverse(T675))-$I675,"")</f>
        <v>293</v>
      </c>
      <c r="O675" s="3">
        <v>1020100</v>
      </c>
      <c r="P675" s="3" t="s">
        <v>114</v>
      </c>
      <c r="Q675" s="3" t="s">
        <v>921</v>
      </c>
      <c r="R675" s="3" t="s">
        <v>1622</v>
      </c>
      <c r="S675" s="3">
        <v>0</v>
      </c>
      <c r="T675" s="3" t="s">
        <v>1595</v>
      </c>
      <c r="U675" s="3"/>
      <c r="V675" s="4"/>
    </row>
    <row r="676" spans="1:22" x14ac:dyDescent="0.2">
      <c r="A676" s="20" t="s">
        <v>764</v>
      </c>
      <c r="B676" s="20">
        <v>3915</v>
      </c>
      <c r="C676" s="21" t="s">
        <v>1</v>
      </c>
      <c r="D676" s="21" t="s">
        <v>2</v>
      </c>
      <c r="E676" s="21" t="s">
        <v>90</v>
      </c>
      <c r="F676" s="21" t="s">
        <v>94</v>
      </c>
      <c r="G676" s="21" t="s">
        <v>1778</v>
      </c>
      <c r="H676" s="22" t="str" cm="1">
        <f t="array" ref="H676">Reverse2_6(O676)</f>
        <v>00-010201</v>
      </c>
      <c r="I676" s="45" cm="1">
        <f t="array" ref="I676">HEX2DEC(Reverse(P676))</f>
        <v>93631153</v>
      </c>
      <c r="J676" s="45" cm="1">
        <f t="array" ref="J676">IF(Q676&lt;&gt;0, HEX2DEC(Reverse(Q676))-$I676,"")</f>
        <v>30</v>
      </c>
      <c r="K676" s="45" cm="1">
        <f t="array" ref="K676">IF(R676&lt;&gt;0, HEX2DEC(Reverse(R676))-$I676,"")</f>
        <v>303</v>
      </c>
      <c r="L676" s="45" t="str" cm="1">
        <f t="array" ref="L676">IF(S676&lt;&gt;0, HEX2DEC(Reverse(S676))-$I676,"")</f>
        <v/>
      </c>
      <c r="M676" s="45" cm="1">
        <f t="array" ref="M676">IF(T676&lt;&gt;0, HEX2DEC(Reverse(T676))-$I676,"")</f>
        <v>294</v>
      </c>
      <c r="O676" s="3">
        <v>1020100</v>
      </c>
      <c r="P676" s="3" t="s">
        <v>114</v>
      </c>
      <c r="Q676" s="3" t="s">
        <v>921</v>
      </c>
      <c r="R676" s="3" t="s">
        <v>1625</v>
      </c>
      <c r="S676" s="3">
        <v>0</v>
      </c>
      <c r="T676" s="3" t="s">
        <v>1598</v>
      </c>
      <c r="U676" s="3"/>
      <c r="V676" s="4"/>
    </row>
    <row r="677" spans="1:22" x14ac:dyDescent="0.2">
      <c r="A677" s="20" t="s">
        <v>765</v>
      </c>
      <c r="B677" s="20">
        <v>3916</v>
      </c>
      <c r="C677" s="21" t="s">
        <v>1</v>
      </c>
      <c r="D677" s="21" t="s">
        <v>2</v>
      </c>
      <c r="E677" s="21" t="s">
        <v>90</v>
      </c>
      <c r="F677" s="21" t="s">
        <v>94</v>
      </c>
      <c r="G677" s="21" t="s">
        <v>1778</v>
      </c>
      <c r="H677" s="22" t="str" cm="1">
        <f t="array" ref="H677">Reverse2_6(O677)</f>
        <v>00-010201</v>
      </c>
      <c r="I677" s="45" cm="1">
        <f t="array" ref="I677">HEX2DEC(Reverse(P677))</f>
        <v>93631153</v>
      </c>
      <c r="J677" s="45" cm="1">
        <f t="array" ref="J677">IF(Q677&lt;&gt;0, HEX2DEC(Reverse(Q677))-$I677,"")</f>
        <v>30</v>
      </c>
      <c r="K677" s="45" cm="1">
        <f t="array" ref="K677">IF(R677&lt;&gt;0, HEX2DEC(Reverse(R677))-$I677,"")</f>
        <v>304</v>
      </c>
      <c r="L677" s="45" t="str" cm="1">
        <f t="array" ref="L677">IF(S677&lt;&gt;0, HEX2DEC(Reverse(S677))-$I677,"")</f>
        <v/>
      </c>
      <c r="M677" s="45" cm="1">
        <f t="array" ref="M677">IF(T677&lt;&gt;0, HEX2DEC(Reverse(T677))-$I677,"")</f>
        <v>295</v>
      </c>
      <c r="O677" s="3">
        <v>1020100</v>
      </c>
      <c r="P677" s="3" t="s">
        <v>114</v>
      </c>
      <c r="Q677" s="3" t="s">
        <v>921</v>
      </c>
      <c r="R677" s="3" t="s">
        <v>1628</v>
      </c>
      <c r="S677" s="3">
        <v>0</v>
      </c>
      <c r="T677" s="3" t="s">
        <v>1601</v>
      </c>
      <c r="U677" s="3"/>
      <c r="V677" s="4"/>
    </row>
    <row r="678" spans="1:22" x14ac:dyDescent="0.2">
      <c r="A678" s="20" t="s">
        <v>766</v>
      </c>
      <c r="B678" s="20">
        <v>3917</v>
      </c>
      <c r="C678" s="21" t="s">
        <v>1</v>
      </c>
      <c r="D678" s="21" t="s">
        <v>2</v>
      </c>
      <c r="E678" s="21" t="s">
        <v>90</v>
      </c>
      <c r="F678" s="21" t="s">
        <v>94</v>
      </c>
      <c r="G678" s="21" t="s">
        <v>1778</v>
      </c>
      <c r="H678" s="22" t="str" cm="1">
        <f t="array" ref="H678">Reverse2_6(O678)</f>
        <v>00-010201</v>
      </c>
      <c r="I678" s="45" cm="1">
        <f t="array" ref="I678">HEX2DEC(Reverse(P678))</f>
        <v>93631153</v>
      </c>
      <c r="J678" s="45" cm="1">
        <f t="array" ref="J678">IF(Q678&lt;&gt;0, HEX2DEC(Reverse(Q678))-$I678,"")</f>
        <v>30</v>
      </c>
      <c r="K678" s="45" cm="1">
        <f t="array" ref="K678">IF(R678&lt;&gt;0, HEX2DEC(Reverse(R678))-$I678,"")</f>
        <v>305</v>
      </c>
      <c r="L678" s="45" t="str" cm="1">
        <f t="array" ref="L678">IF(S678&lt;&gt;0, HEX2DEC(Reverse(S678))-$I678,"")</f>
        <v/>
      </c>
      <c r="M678" s="45" cm="1">
        <f t="array" ref="M678">IF(T678&lt;&gt;0, HEX2DEC(Reverse(T678))-$I678,"")</f>
        <v>296</v>
      </c>
      <c r="O678" s="3">
        <v>1020100</v>
      </c>
      <c r="P678" s="3" t="s">
        <v>114</v>
      </c>
      <c r="Q678" s="3" t="s">
        <v>921</v>
      </c>
      <c r="R678" s="3" t="s">
        <v>1631</v>
      </c>
      <c r="S678" s="3">
        <v>0</v>
      </c>
      <c r="T678" s="3" t="s">
        <v>1604</v>
      </c>
      <c r="U678" s="3"/>
      <c r="V678" s="4"/>
    </row>
    <row r="679" spans="1:22" x14ac:dyDescent="0.2">
      <c r="A679" s="20" t="s">
        <v>767</v>
      </c>
      <c r="B679" s="20">
        <v>3918</v>
      </c>
      <c r="C679" s="21" t="s">
        <v>1</v>
      </c>
      <c r="D679" s="21" t="s">
        <v>2</v>
      </c>
      <c r="E679" s="21" t="s">
        <v>90</v>
      </c>
      <c r="F679" s="21" t="s">
        <v>94</v>
      </c>
      <c r="G679" s="21" t="s">
        <v>1778</v>
      </c>
      <c r="H679" s="22" t="str" cm="1">
        <f t="array" ref="H679">Reverse2_6(O679)</f>
        <v>00-010201</v>
      </c>
      <c r="I679" s="45" cm="1">
        <f t="array" ref="I679">HEX2DEC(Reverse(P679))</f>
        <v>93631153</v>
      </c>
      <c r="J679" s="45" cm="1">
        <f t="array" ref="J679">IF(Q679&lt;&gt;0, HEX2DEC(Reverse(Q679))-$I679,"")</f>
        <v>30</v>
      </c>
      <c r="K679" s="45" cm="1">
        <f t="array" ref="K679">IF(R679&lt;&gt;0, HEX2DEC(Reverse(R679))-$I679,"")</f>
        <v>306</v>
      </c>
      <c r="L679" s="45" t="str" cm="1">
        <f t="array" ref="L679">IF(S679&lt;&gt;0, HEX2DEC(Reverse(S679))-$I679,"")</f>
        <v/>
      </c>
      <c r="M679" s="45" cm="1">
        <f t="array" ref="M679">IF(T679&lt;&gt;0, HEX2DEC(Reverse(T679))-$I679,"")</f>
        <v>297</v>
      </c>
      <c r="O679" s="3">
        <v>1020100</v>
      </c>
      <c r="P679" s="3" t="s">
        <v>114</v>
      </c>
      <c r="Q679" s="3" t="s">
        <v>921</v>
      </c>
      <c r="R679" s="3" t="s">
        <v>1634</v>
      </c>
      <c r="S679" s="3">
        <v>0</v>
      </c>
      <c r="T679" s="3" t="s">
        <v>1607</v>
      </c>
      <c r="U679" s="3"/>
      <c r="V679" s="4"/>
    </row>
    <row r="680" spans="1:22" x14ac:dyDescent="0.2">
      <c r="A680" s="20" t="s">
        <v>768</v>
      </c>
      <c r="B680" s="20">
        <v>3919</v>
      </c>
      <c r="C680" s="21" t="s">
        <v>1</v>
      </c>
      <c r="D680" s="21" t="s">
        <v>2</v>
      </c>
      <c r="E680" s="21" t="s">
        <v>90</v>
      </c>
      <c r="F680" s="21" t="s">
        <v>94</v>
      </c>
      <c r="G680" s="21" t="s">
        <v>1778</v>
      </c>
      <c r="H680" s="22" t="str" cm="1">
        <f t="array" ref="H680">Reverse2_6(O680)</f>
        <v>00-010201</v>
      </c>
      <c r="I680" s="45" cm="1">
        <f t="array" ref="I680">HEX2DEC(Reverse(P680))</f>
        <v>93631153</v>
      </c>
      <c r="J680" s="45" cm="1">
        <f t="array" ref="J680">IF(Q680&lt;&gt;0, HEX2DEC(Reverse(Q680))-$I680,"")</f>
        <v>30</v>
      </c>
      <c r="K680" s="45" cm="1">
        <f t="array" ref="K680">IF(R680&lt;&gt;0, HEX2DEC(Reverse(R680))-$I680,"")</f>
        <v>307</v>
      </c>
      <c r="L680" s="45" t="str" cm="1">
        <f t="array" ref="L680">IF(S680&lt;&gt;0, HEX2DEC(Reverse(S680))-$I680,"")</f>
        <v/>
      </c>
      <c r="M680" s="45" cm="1">
        <f t="array" ref="M680">IF(T680&lt;&gt;0, HEX2DEC(Reverse(T680))-$I680,"")</f>
        <v>298</v>
      </c>
      <c r="O680" s="3">
        <v>1020100</v>
      </c>
      <c r="P680" s="3" t="s">
        <v>114</v>
      </c>
      <c r="Q680" s="3" t="s">
        <v>921</v>
      </c>
      <c r="R680" s="3" t="s">
        <v>1637</v>
      </c>
      <c r="S680" s="3">
        <v>0</v>
      </c>
      <c r="T680" s="3" t="s">
        <v>1610</v>
      </c>
      <c r="U680" s="3"/>
      <c r="V680" s="4"/>
    </row>
    <row r="681" spans="1:22" x14ac:dyDescent="0.2">
      <c r="A681" s="16" t="s">
        <v>769</v>
      </c>
      <c r="B681" s="16">
        <v>3920</v>
      </c>
      <c r="C681" s="15" t="s">
        <v>2</v>
      </c>
      <c r="D681" s="15" t="s">
        <v>1</v>
      </c>
      <c r="E681" s="15" t="s">
        <v>92</v>
      </c>
      <c r="F681" s="15" t="s">
        <v>96</v>
      </c>
      <c r="G681" s="15"/>
      <c r="H681" s="17" t="str" cm="1">
        <f t="array" ref="H681">Reverse2_6(O681)</f>
        <v>00-010101</v>
      </c>
      <c r="I681" s="18" cm="1">
        <f t="array" ref="I681">HEX2DEC(Reverse(P681))</f>
        <v>93631153</v>
      </c>
      <c r="J681" s="18" cm="1">
        <f t="array" ref="J681">IF(Q681&lt;&gt;0, HEX2DEC(Reverse(Q681))-$I681,"")</f>
        <v>308</v>
      </c>
      <c r="K681" s="18" cm="1">
        <f t="array" ref="K681">IF(R681&lt;&gt;0, HEX2DEC(Reverse(R681))-$I681,"")</f>
        <v>30</v>
      </c>
      <c r="L681" s="18" cm="1">
        <f t="array" ref="L681">IF(S681&lt;&gt;0, HEX2DEC(Reverse(S681))-$I681,"")</f>
        <v>299</v>
      </c>
      <c r="M681" s="18" cm="1">
        <f t="array" ref="M681">IF(T681&lt;&gt;0, HEX2DEC(Reverse(T681))-$I681,"")</f>
        <v>30</v>
      </c>
      <c r="O681" s="3">
        <v>1010100</v>
      </c>
      <c r="P681" s="3" t="s">
        <v>114</v>
      </c>
      <c r="Q681" s="3" t="s">
        <v>1640</v>
      </c>
      <c r="R681" s="12" t="s">
        <v>921</v>
      </c>
      <c r="S681" s="3" t="s">
        <v>1613</v>
      </c>
      <c r="T681" s="12" t="s">
        <v>921</v>
      </c>
      <c r="U681" s="3" t="s">
        <v>1641</v>
      </c>
      <c r="V681" s="4" t="s">
        <v>1642</v>
      </c>
    </row>
    <row r="682" spans="1:22" x14ac:dyDescent="0.2">
      <c r="A682" s="16" t="s">
        <v>770</v>
      </c>
      <c r="B682" s="16">
        <v>3921</v>
      </c>
      <c r="C682" s="15" t="s">
        <v>2</v>
      </c>
      <c r="D682" s="15" t="s">
        <v>1</v>
      </c>
      <c r="E682" s="15" t="s">
        <v>92</v>
      </c>
      <c r="F682" s="15" t="s">
        <v>96</v>
      </c>
      <c r="G682" s="15"/>
      <c r="H682" s="17" t="str" cm="1">
        <f t="array" ref="H682">Reverse2_6(O682)</f>
        <v>00-010101</v>
      </c>
      <c r="I682" s="18" cm="1">
        <f t="array" ref="I682">HEX2DEC(Reverse(P682))</f>
        <v>93631153</v>
      </c>
      <c r="J682" s="18" cm="1">
        <f t="array" ref="J682">IF(Q682&lt;&gt;0, HEX2DEC(Reverse(Q682))-$I682,"")</f>
        <v>309</v>
      </c>
      <c r="K682" s="18" cm="1">
        <f t="array" ref="K682">IF(R682&lt;&gt;0, HEX2DEC(Reverse(R682))-$I682,"")</f>
        <v>30</v>
      </c>
      <c r="L682" s="18" cm="1">
        <f t="array" ref="L682">IF(S682&lt;&gt;0, HEX2DEC(Reverse(S682))-$I682,"")</f>
        <v>300</v>
      </c>
      <c r="M682" s="18" cm="1">
        <f t="array" ref="M682">IF(T682&lt;&gt;0, HEX2DEC(Reverse(T682))-$I682,"")</f>
        <v>30</v>
      </c>
      <c r="O682" s="3">
        <v>1010100</v>
      </c>
      <c r="P682" s="3" t="s">
        <v>114</v>
      </c>
      <c r="Q682" s="3" t="s">
        <v>1643</v>
      </c>
      <c r="R682" s="12" t="s">
        <v>921</v>
      </c>
      <c r="S682" s="3" t="s">
        <v>1616</v>
      </c>
      <c r="T682" s="12" t="s">
        <v>921</v>
      </c>
      <c r="U682" s="3" t="s">
        <v>1644</v>
      </c>
      <c r="V682" s="4" t="s">
        <v>1645</v>
      </c>
    </row>
    <row r="683" spans="1:22" x14ac:dyDescent="0.2">
      <c r="A683" s="16" t="s">
        <v>771</v>
      </c>
      <c r="B683" s="16">
        <v>3922</v>
      </c>
      <c r="C683" s="15" t="s">
        <v>2</v>
      </c>
      <c r="D683" s="15" t="s">
        <v>1</v>
      </c>
      <c r="E683" s="15" t="s">
        <v>92</v>
      </c>
      <c r="F683" s="15" t="s">
        <v>96</v>
      </c>
      <c r="G683" s="15"/>
      <c r="H683" s="17" t="str" cm="1">
        <f t="array" ref="H683">Reverse2_6(O683)</f>
        <v>00-010101</v>
      </c>
      <c r="I683" s="18" cm="1">
        <f t="array" ref="I683">HEX2DEC(Reverse(P683))</f>
        <v>93631153</v>
      </c>
      <c r="J683" s="18" cm="1">
        <f t="array" ref="J683">IF(Q683&lt;&gt;0, HEX2DEC(Reverse(Q683))-$I683,"")</f>
        <v>310</v>
      </c>
      <c r="K683" s="18" cm="1">
        <f t="array" ref="K683">IF(R683&lt;&gt;0, HEX2DEC(Reverse(R683))-$I683,"")</f>
        <v>30</v>
      </c>
      <c r="L683" s="18" cm="1">
        <f t="array" ref="L683">IF(S683&lt;&gt;0, HEX2DEC(Reverse(S683))-$I683,"")</f>
        <v>301</v>
      </c>
      <c r="M683" s="18" cm="1">
        <f t="array" ref="M683">IF(T683&lt;&gt;0, HEX2DEC(Reverse(T683))-$I683,"")</f>
        <v>30</v>
      </c>
      <c r="O683" s="3">
        <v>1010100</v>
      </c>
      <c r="P683" s="3" t="s">
        <v>114</v>
      </c>
      <c r="Q683" s="3" t="s">
        <v>1646</v>
      </c>
      <c r="R683" s="12" t="s">
        <v>921</v>
      </c>
      <c r="S683" s="3" t="s">
        <v>1619</v>
      </c>
      <c r="T683" s="12" t="s">
        <v>921</v>
      </c>
      <c r="U683" s="3" t="s">
        <v>1647</v>
      </c>
      <c r="V683" s="4" t="s">
        <v>1648</v>
      </c>
    </row>
    <row r="684" spans="1:22" x14ac:dyDescent="0.2">
      <c r="A684" s="16" t="s">
        <v>772</v>
      </c>
      <c r="B684" s="16">
        <v>3923</v>
      </c>
      <c r="C684" s="15" t="s">
        <v>2</v>
      </c>
      <c r="D684" s="15" t="s">
        <v>1</v>
      </c>
      <c r="E684" s="15" t="s">
        <v>92</v>
      </c>
      <c r="F684" s="15" t="s">
        <v>96</v>
      </c>
      <c r="G684" s="15"/>
      <c r="H684" s="17" t="str" cm="1">
        <f t="array" ref="H684">Reverse2_6(O684)</f>
        <v>00-010101</v>
      </c>
      <c r="I684" s="18" cm="1">
        <f t="array" ref="I684">HEX2DEC(Reverse(P684))</f>
        <v>93631153</v>
      </c>
      <c r="J684" s="18" cm="1">
        <f t="array" ref="J684">IF(Q684&lt;&gt;0, HEX2DEC(Reverse(Q684))-$I684,"")</f>
        <v>311</v>
      </c>
      <c r="K684" s="18" cm="1">
        <f t="array" ref="K684">IF(R684&lt;&gt;0, HEX2DEC(Reverse(R684))-$I684,"")</f>
        <v>30</v>
      </c>
      <c r="L684" s="18" cm="1">
        <f t="array" ref="L684">IF(S684&lt;&gt;0, HEX2DEC(Reverse(S684))-$I684,"")</f>
        <v>302</v>
      </c>
      <c r="M684" s="18" cm="1">
        <f t="array" ref="M684">IF(T684&lt;&gt;0, HEX2DEC(Reverse(T684))-$I684,"")</f>
        <v>30</v>
      </c>
      <c r="O684" s="3">
        <v>1010100</v>
      </c>
      <c r="P684" s="3" t="s">
        <v>114</v>
      </c>
      <c r="Q684" s="3" t="s">
        <v>1649</v>
      </c>
      <c r="R684" s="12" t="s">
        <v>921</v>
      </c>
      <c r="S684" s="3" t="s">
        <v>1622</v>
      </c>
      <c r="T684" s="12" t="s">
        <v>921</v>
      </c>
      <c r="U684" s="3" t="s">
        <v>1650</v>
      </c>
      <c r="V684" s="4" t="s">
        <v>1651</v>
      </c>
    </row>
    <row r="685" spans="1:22" x14ac:dyDescent="0.2">
      <c r="A685" s="16" t="s">
        <v>773</v>
      </c>
      <c r="B685" s="16">
        <v>3924</v>
      </c>
      <c r="C685" s="15" t="s">
        <v>2</v>
      </c>
      <c r="D685" s="15" t="s">
        <v>1</v>
      </c>
      <c r="E685" s="15" t="s">
        <v>92</v>
      </c>
      <c r="F685" s="15" t="s">
        <v>96</v>
      </c>
      <c r="G685" s="15"/>
      <c r="H685" s="17" t="str" cm="1">
        <f t="array" ref="H685">Reverse2_6(O685)</f>
        <v>00-010101</v>
      </c>
      <c r="I685" s="18" cm="1">
        <f t="array" ref="I685">HEX2DEC(Reverse(P685))</f>
        <v>93631153</v>
      </c>
      <c r="J685" s="18" cm="1">
        <f t="array" ref="J685">IF(Q685&lt;&gt;0, HEX2DEC(Reverse(Q685))-$I685,"")</f>
        <v>312</v>
      </c>
      <c r="K685" s="18" cm="1">
        <f t="array" ref="K685">IF(R685&lt;&gt;0, HEX2DEC(Reverse(R685))-$I685,"")</f>
        <v>30</v>
      </c>
      <c r="L685" s="18" cm="1">
        <f t="array" ref="L685">IF(S685&lt;&gt;0, HEX2DEC(Reverse(S685))-$I685,"")</f>
        <v>303</v>
      </c>
      <c r="M685" s="18" cm="1">
        <f t="array" ref="M685">IF(T685&lt;&gt;0, HEX2DEC(Reverse(T685))-$I685,"")</f>
        <v>30</v>
      </c>
      <c r="O685" s="3">
        <v>1010100</v>
      </c>
      <c r="P685" s="3" t="s">
        <v>114</v>
      </c>
      <c r="Q685" s="3" t="s">
        <v>1652</v>
      </c>
      <c r="R685" s="12" t="s">
        <v>921</v>
      </c>
      <c r="S685" s="3" t="s">
        <v>1625</v>
      </c>
      <c r="T685" s="12" t="s">
        <v>921</v>
      </c>
      <c r="U685" s="3" t="s">
        <v>1653</v>
      </c>
      <c r="V685" s="4" t="s">
        <v>1654</v>
      </c>
    </row>
    <row r="686" spans="1:22" x14ac:dyDescent="0.2">
      <c r="A686" s="16" t="s">
        <v>774</v>
      </c>
      <c r="B686" s="16">
        <v>3925</v>
      </c>
      <c r="C686" s="15" t="s">
        <v>2</v>
      </c>
      <c r="D686" s="15" t="s">
        <v>1</v>
      </c>
      <c r="E686" s="15" t="s">
        <v>92</v>
      </c>
      <c r="F686" s="15" t="s">
        <v>96</v>
      </c>
      <c r="G686" s="15"/>
      <c r="H686" s="17" t="str" cm="1">
        <f t="array" ref="H686">Reverse2_6(O686)</f>
        <v>00-010101</v>
      </c>
      <c r="I686" s="18" cm="1">
        <f t="array" ref="I686">HEX2DEC(Reverse(P686))</f>
        <v>93631153</v>
      </c>
      <c r="J686" s="18" cm="1">
        <f t="array" ref="J686">IF(Q686&lt;&gt;0, HEX2DEC(Reverse(Q686))-$I686,"")</f>
        <v>313</v>
      </c>
      <c r="K686" s="18" cm="1">
        <f t="array" ref="K686">IF(R686&lt;&gt;0, HEX2DEC(Reverse(R686))-$I686,"")</f>
        <v>30</v>
      </c>
      <c r="L686" s="18" cm="1">
        <f t="array" ref="L686">IF(S686&lt;&gt;0, HEX2DEC(Reverse(S686))-$I686,"")</f>
        <v>304</v>
      </c>
      <c r="M686" s="18" cm="1">
        <f t="array" ref="M686">IF(T686&lt;&gt;0, HEX2DEC(Reverse(T686))-$I686,"")</f>
        <v>30</v>
      </c>
      <c r="O686" s="3">
        <v>1010100</v>
      </c>
      <c r="P686" s="3" t="s">
        <v>114</v>
      </c>
      <c r="Q686" s="3" t="s">
        <v>1655</v>
      </c>
      <c r="R686" s="12" t="s">
        <v>921</v>
      </c>
      <c r="S686" s="3" t="s">
        <v>1628</v>
      </c>
      <c r="T686" s="12" t="s">
        <v>921</v>
      </c>
      <c r="U686" s="3" t="s">
        <v>1656</v>
      </c>
      <c r="V686" s="4" t="s">
        <v>1657</v>
      </c>
    </row>
    <row r="687" spans="1:22" x14ac:dyDescent="0.2">
      <c r="A687" s="16" t="s">
        <v>775</v>
      </c>
      <c r="B687" s="16">
        <v>3926</v>
      </c>
      <c r="C687" s="15" t="s">
        <v>2</v>
      </c>
      <c r="D687" s="15" t="s">
        <v>1</v>
      </c>
      <c r="E687" s="15" t="s">
        <v>92</v>
      </c>
      <c r="F687" s="15" t="s">
        <v>96</v>
      </c>
      <c r="G687" s="15"/>
      <c r="H687" s="17" t="str" cm="1">
        <f t="array" ref="H687">Reverse2_6(O687)</f>
        <v>00-010101</v>
      </c>
      <c r="I687" s="18" cm="1">
        <f t="array" ref="I687">HEX2DEC(Reverse(P687))</f>
        <v>93631153</v>
      </c>
      <c r="J687" s="18" cm="1">
        <f t="array" ref="J687">IF(Q687&lt;&gt;0, HEX2DEC(Reverse(Q687))-$I687,"")</f>
        <v>314</v>
      </c>
      <c r="K687" s="18" cm="1">
        <f t="array" ref="K687">IF(R687&lt;&gt;0, HEX2DEC(Reverse(R687))-$I687,"")</f>
        <v>30</v>
      </c>
      <c r="L687" s="18" cm="1">
        <f t="array" ref="L687">IF(S687&lt;&gt;0, HEX2DEC(Reverse(S687))-$I687,"")</f>
        <v>305</v>
      </c>
      <c r="M687" s="18" cm="1">
        <f t="array" ref="M687">IF(T687&lt;&gt;0, HEX2DEC(Reverse(T687))-$I687,"")</f>
        <v>30</v>
      </c>
      <c r="O687" s="3">
        <v>1010100</v>
      </c>
      <c r="P687" s="3" t="s">
        <v>114</v>
      </c>
      <c r="Q687" s="3" t="s">
        <v>1658</v>
      </c>
      <c r="R687" s="12" t="s">
        <v>921</v>
      </c>
      <c r="S687" s="3" t="s">
        <v>1631</v>
      </c>
      <c r="T687" s="12" t="s">
        <v>921</v>
      </c>
      <c r="U687" s="3" t="s">
        <v>1659</v>
      </c>
      <c r="V687" s="4" t="s">
        <v>1660</v>
      </c>
    </row>
    <row r="688" spans="1:22" x14ac:dyDescent="0.2">
      <c r="A688" s="16" t="s">
        <v>776</v>
      </c>
      <c r="B688" s="16">
        <v>3927</v>
      </c>
      <c r="C688" s="15" t="s">
        <v>2</v>
      </c>
      <c r="D688" s="15" t="s">
        <v>1</v>
      </c>
      <c r="E688" s="15" t="s">
        <v>92</v>
      </c>
      <c r="F688" s="15" t="s">
        <v>96</v>
      </c>
      <c r="G688" s="15"/>
      <c r="H688" s="17" t="str" cm="1">
        <f t="array" ref="H688">Reverse2_6(O688)</f>
        <v>00-010101</v>
      </c>
      <c r="I688" s="18" cm="1">
        <f t="array" ref="I688">HEX2DEC(Reverse(P688))</f>
        <v>93631153</v>
      </c>
      <c r="J688" s="18" cm="1">
        <f t="array" ref="J688">IF(Q688&lt;&gt;0, HEX2DEC(Reverse(Q688))-$I688,"")</f>
        <v>315</v>
      </c>
      <c r="K688" s="18" cm="1">
        <f t="array" ref="K688">IF(R688&lt;&gt;0, HEX2DEC(Reverse(R688))-$I688,"")</f>
        <v>30</v>
      </c>
      <c r="L688" s="18" cm="1">
        <f t="array" ref="L688">IF(S688&lt;&gt;0, HEX2DEC(Reverse(S688))-$I688,"")</f>
        <v>306</v>
      </c>
      <c r="M688" s="18" cm="1">
        <f t="array" ref="M688">IF(T688&lt;&gt;0, HEX2DEC(Reverse(T688))-$I688,"")</f>
        <v>30</v>
      </c>
      <c r="O688" s="3">
        <v>1010100</v>
      </c>
      <c r="P688" s="3" t="s">
        <v>114</v>
      </c>
      <c r="Q688" s="3" t="s">
        <v>1661</v>
      </c>
      <c r="R688" s="12" t="s">
        <v>921</v>
      </c>
      <c r="S688" s="3" t="s">
        <v>1634</v>
      </c>
      <c r="T688" s="12" t="s">
        <v>921</v>
      </c>
      <c r="U688" s="3" t="s">
        <v>1662</v>
      </c>
      <c r="V688" s="4" t="s">
        <v>1663</v>
      </c>
    </row>
    <row r="689" spans="1:22" x14ac:dyDescent="0.2">
      <c r="A689" s="16" t="s">
        <v>777</v>
      </c>
      <c r="B689" s="16">
        <v>3928</v>
      </c>
      <c r="C689" s="15" t="s">
        <v>2</v>
      </c>
      <c r="D689" s="15" t="s">
        <v>1</v>
      </c>
      <c r="E689" s="15" t="s">
        <v>92</v>
      </c>
      <c r="F689" s="15" t="s">
        <v>96</v>
      </c>
      <c r="G689" s="15"/>
      <c r="H689" s="17" t="str" cm="1">
        <f t="array" ref="H689">Reverse2_6(O689)</f>
        <v>00-010101</v>
      </c>
      <c r="I689" s="18" cm="1">
        <f t="array" ref="I689">HEX2DEC(Reverse(P689))</f>
        <v>93631153</v>
      </c>
      <c r="J689" s="18" cm="1">
        <f t="array" ref="J689">IF(Q689&lt;&gt;0, HEX2DEC(Reverse(Q689))-$I689,"")</f>
        <v>316</v>
      </c>
      <c r="K689" s="18" cm="1">
        <f t="array" ref="K689">IF(R689&lt;&gt;0, HEX2DEC(Reverse(R689))-$I689,"")</f>
        <v>30</v>
      </c>
      <c r="L689" s="18" cm="1">
        <f t="array" ref="L689">IF(S689&lt;&gt;0, HEX2DEC(Reverse(S689))-$I689,"")</f>
        <v>307</v>
      </c>
      <c r="M689" s="18" cm="1">
        <f t="array" ref="M689">IF(T689&lt;&gt;0, HEX2DEC(Reverse(T689))-$I689,"")</f>
        <v>30</v>
      </c>
      <c r="O689" s="3">
        <v>1010100</v>
      </c>
      <c r="P689" s="3" t="s">
        <v>114</v>
      </c>
      <c r="Q689" s="3" t="s">
        <v>1664</v>
      </c>
      <c r="R689" s="12" t="s">
        <v>921</v>
      </c>
      <c r="S689" s="3" t="s">
        <v>1637</v>
      </c>
      <c r="T689" s="12" t="s">
        <v>921</v>
      </c>
      <c r="U689" s="3" t="s">
        <v>1665</v>
      </c>
      <c r="V689" s="4" t="s">
        <v>1666</v>
      </c>
    </row>
    <row r="690" spans="1:22" x14ac:dyDescent="0.2">
      <c r="A690" s="16" t="s">
        <v>778</v>
      </c>
      <c r="B690" s="16">
        <v>3929</v>
      </c>
      <c r="C690" s="15" t="s">
        <v>2</v>
      </c>
      <c r="D690" s="15" t="s">
        <v>1</v>
      </c>
      <c r="E690" s="15" t="s">
        <v>92</v>
      </c>
      <c r="F690" s="15" t="s">
        <v>96</v>
      </c>
      <c r="G690" s="15"/>
      <c r="H690" s="17" t="str" cm="1">
        <f t="array" ref="H690">Reverse2_6(O690)</f>
        <v>00-010101</v>
      </c>
      <c r="I690" s="18" cm="1">
        <f t="array" ref="I690">HEX2DEC(Reverse(P690))</f>
        <v>93631153</v>
      </c>
      <c r="J690" s="18" cm="1">
        <f t="array" ref="J690">IF(Q690&lt;&gt;0, HEX2DEC(Reverse(Q690))-$I690,"")</f>
        <v>317</v>
      </c>
      <c r="K690" s="18" cm="1">
        <f t="array" ref="K690">IF(R690&lt;&gt;0, HEX2DEC(Reverse(R690))-$I690,"")</f>
        <v>30</v>
      </c>
      <c r="L690" s="18" cm="1">
        <f t="array" ref="L690">IF(S690&lt;&gt;0, HEX2DEC(Reverse(S690))-$I690,"")</f>
        <v>308</v>
      </c>
      <c r="M690" s="18" cm="1">
        <f t="array" ref="M690">IF(T690&lt;&gt;0, HEX2DEC(Reverse(T690))-$I690,"")</f>
        <v>30</v>
      </c>
      <c r="O690" s="3">
        <v>1010100</v>
      </c>
      <c r="P690" s="3" t="s">
        <v>114</v>
      </c>
      <c r="Q690" s="3" t="s">
        <v>1667</v>
      </c>
      <c r="R690" s="12" t="s">
        <v>921</v>
      </c>
      <c r="S690" s="3" t="s">
        <v>1640</v>
      </c>
      <c r="T690" s="12" t="s">
        <v>921</v>
      </c>
      <c r="U690" s="3" t="s">
        <v>1668</v>
      </c>
      <c r="V690" s="4" t="s">
        <v>1669</v>
      </c>
    </row>
    <row r="691" spans="1:22" x14ac:dyDescent="0.2">
      <c r="A691" s="20" t="s">
        <v>779</v>
      </c>
      <c r="B691" s="20">
        <v>3931</v>
      </c>
      <c r="C691" s="21" t="s">
        <v>1</v>
      </c>
      <c r="D691" s="21" t="s">
        <v>2</v>
      </c>
      <c r="E691" s="21" t="s">
        <v>90</v>
      </c>
      <c r="F691" s="21" t="s">
        <v>94</v>
      </c>
      <c r="G691" s="21" t="s">
        <v>1778</v>
      </c>
      <c r="H691" s="22" t="str" cm="1">
        <f t="array" ref="H691">Reverse2_6(O691)</f>
        <v>00-010201</v>
      </c>
      <c r="I691" s="45" cm="1">
        <f t="array" ref="I691">HEX2DEC(Reverse(P691))</f>
        <v>93631153</v>
      </c>
      <c r="J691" s="45" cm="1">
        <f t="array" ref="J691">IF(Q691&lt;&gt;0, HEX2DEC(Reverse(Q691))-$I691,"")</f>
        <v>30</v>
      </c>
      <c r="K691" s="45" cm="1">
        <f t="array" ref="K691">IF(R691&lt;&gt;0, HEX2DEC(Reverse(R691))-$I691,"")</f>
        <v>308</v>
      </c>
      <c r="L691" s="45" t="str" cm="1">
        <f t="array" ref="L691">IF(S691&lt;&gt;0, HEX2DEC(Reverse(S691))-$I691,"")</f>
        <v/>
      </c>
      <c r="M691" s="45" cm="1">
        <f t="array" ref="M691">IF(T691&lt;&gt;0, HEX2DEC(Reverse(T691))-$I691,"")</f>
        <v>299</v>
      </c>
      <c r="O691" s="3">
        <v>1020100</v>
      </c>
      <c r="P691" s="3" t="s">
        <v>114</v>
      </c>
      <c r="Q691" s="3" t="s">
        <v>921</v>
      </c>
      <c r="R691" s="3" t="s">
        <v>1640</v>
      </c>
      <c r="S691" s="3">
        <v>0</v>
      </c>
      <c r="T691" s="3" t="s">
        <v>1613</v>
      </c>
      <c r="U691" s="3"/>
      <c r="V691" s="4"/>
    </row>
    <row r="692" spans="1:22" x14ac:dyDescent="0.2">
      <c r="A692" s="20" t="s">
        <v>780</v>
      </c>
      <c r="B692" s="20">
        <v>3932</v>
      </c>
      <c r="C692" s="21" t="s">
        <v>1</v>
      </c>
      <c r="D692" s="21" t="s">
        <v>2</v>
      </c>
      <c r="E692" s="21" t="s">
        <v>90</v>
      </c>
      <c r="F692" s="21" t="s">
        <v>94</v>
      </c>
      <c r="G692" s="21" t="s">
        <v>1778</v>
      </c>
      <c r="H692" s="22" t="str" cm="1">
        <f t="array" ref="H692">Reverse2_6(O692)</f>
        <v>00-010201</v>
      </c>
      <c r="I692" s="45" cm="1">
        <f t="array" ref="I692">HEX2DEC(Reverse(P692))</f>
        <v>93631153</v>
      </c>
      <c r="J692" s="45" cm="1">
        <f t="array" ref="J692">IF(Q692&lt;&gt;0, HEX2DEC(Reverse(Q692))-$I692,"")</f>
        <v>30</v>
      </c>
      <c r="K692" s="45" cm="1">
        <f t="array" ref="K692">IF(R692&lt;&gt;0, HEX2DEC(Reverse(R692))-$I692,"")</f>
        <v>309</v>
      </c>
      <c r="L692" s="45" t="str" cm="1">
        <f t="array" ref="L692">IF(S692&lt;&gt;0, HEX2DEC(Reverse(S692))-$I692,"")</f>
        <v/>
      </c>
      <c r="M692" s="45" cm="1">
        <f t="array" ref="M692">IF(T692&lt;&gt;0, HEX2DEC(Reverse(T692))-$I692,"")</f>
        <v>300</v>
      </c>
      <c r="O692" s="3">
        <v>1020100</v>
      </c>
      <c r="P692" s="3" t="s">
        <v>114</v>
      </c>
      <c r="Q692" s="3" t="s">
        <v>921</v>
      </c>
      <c r="R692" s="3" t="s">
        <v>1643</v>
      </c>
      <c r="S692" s="3">
        <v>0</v>
      </c>
      <c r="T692" s="3" t="s">
        <v>1616</v>
      </c>
      <c r="U692" s="3"/>
      <c r="V692" s="4"/>
    </row>
    <row r="693" spans="1:22" x14ac:dyDescent="0.2">
      <c r="A693" s="20" t="s">
        <v>781</v>
      </c>
      <c r="B693" s="20">
        <v>3933</v>
      </c>
      <c r="C693" s="21" t="s">
        <v>1</v>
      </c>
      <c r="D693" s="21" t="s">
        <v>2</v>
      </c>
      <c r="E693" s="21" t="s">
        <v>90</v>
      </c>
      <c r="F693" s="21" t="s">
        <v>94</v>
      </c>
      <c r="G693" s="21" t="s">
        <v>1778</v>
      </c>
      <c r="H693" s="22" t="str" cm="1">
        <f t="array" ref="H693">Reverse2_6(O693)</f>
        <v>00-010201</v>
      </c>
      <c r="I693" s="45" cm="1">
        <f t="array" ref="I693">HEX2DEC(Reverse(P693))</f>
        <v>93631153</v>
      </c>
      <c r="J693" s="45" cm="1">
        <f t="array" ref="J693">IF(Q693&lt;&gt;0, HEX2DEC(Reverse(Q693))-$I693,"")</f>
        <v>30</v>
      </c>
      <c r="K693" s="45" cm="1">
        <f t="array" ref="K693">IF(R693&lt;&gt;0, HEX2DEC(Reverse(R693))-$I693,"")</f>
        <v>310</v>
      </c>
      <c r="L693" s="45" t="str" cm="1">
        <f t="array" ref="L693">IF(S693&lt;&gt;0, HEX2DEC(Reverse(S693))-$I693,"")</f>
        <v/>
      </c>
      <c r="M693" s="45" cm="1">
        <f t="array" ref="M693">IF(T693&lt;&gt;0, HEX2DEC(Reverse(T693))-$I693,"")</f>
        <v>301</v>
      </c>
      <c r="O693" s="3">
        <v>1020100</v>
      </c>
      <c r="P693" s="3" t="s">
        <v>114</v>
      </c>
      <c r="Q693" s="3" t="s">
        <v>921</v>
      </c>
      <c r="R693" s="3" t="s">
        <v>1646</v>
      </c>
      <c r="S693" s="3">
        <v>0</v>
      </c>
      <c r="T693" s="3" t="s">
        <v>1619</v>
      </c>
      <c r="U693" s="3"/>
      <c r="V693" s="4"/>
    </row>
    <row r="694" spans="1:22" x14ac:dyDescent="0.2">
      <c r="A694" s="20" t="s">
        <v>782</v>
      </c>
      <c r="B694" s="20">
        <v>3934</v>
      </c>
      <c r="C694" s="21" t="s">
        <v>1</v>
      </c>
      <c r="D694" s="21" t="s">
        <v>2</v>
      </c>
      <c r="E694" s="21" t="s">
        <v>90</v>
      </c>
      <c r="F694" s="21" t="s">
        <v>94</v>
      </c>
      <c r="G694" s="21" t="s">
        <v>1778</v>
      </c>
      <c r="H694" s="22" t="str" cm="1">
        <f t="array" ref="H694">Reverse2_6(O694)</f>
        <v>00-010201</v>
      </c>
      <c r="I694" s="45" cm="1">
        <f t="array" ref="I694">HEX2DEC(Reverse(P694))</f>
        <v>93631153</v>
      </c>
      <c r="J694" s="45" cm="1">
        <f t="array" ref="J694">IF(Q694&lt;&gt;0, HEX2DEC(Reverse(Q694))-$I694,"")</f>
        <v>30</v>
      </c>
      <c r="K694" s="45" cm="1">
        <f t="array" ref="K694">IF(R694&lt;&gt;0, HEX2DEC(Reverse(R694))-$I694,"")</f>
        <v>311</v>
      </c>
      <c r="L694" s="45" t="str" cm="1">
        <f t="array" ref="L694">IF(S694&lt;&gt;0, HEX2DEC(Reverse(S694))-$I694,"")</f>
        <v/>
      </c>
      <c r="M694" s="45" cm="1">
        <f t="array" ref="M694">IF(T694&lt;&gt;0, HEX2DEC(Reverse(T694))-$I694,"")</f>
        <v>302</v>
      </c>
      <c r="O694" s="3">
        <v>1020100</v>
      </c>
      <c r="P694" s="3" t="s">
        <v>114</v>
      </c>
      <c r="Q694" s="3" t="s">
        <v>921</v>
      </c>
      <c r="R694" s="3" t="s">
        <v>1649</v>
      </c>
      <c r="S694" s="3">
        <v>0</v>
      </c>
      <c r="T694" s="3" t="s">
        <v>1622</v>
      </c>
      <c r="U694" s="3"/>
      <c r="V694" s="4"/>
    </row>
    <row r="695" spans="1:22" x14ac:dyDescent="0.2">
      <c r="A695" s="20" t="s">
        <v>783</v>
      </c>
      <c r="B695" s="20">
        <v>3935</v>
      </c>
      <c r="C695" s="21" t="s">
        <v>1</v>
      </c>
      <c r="D695" s="21" t="s">
        <v>2</v>
      </c>
      <c r="E695" s="21" t="s">
        <v>90</v>
      </c>
      <c r="F695" s="21" t="s">
        <v>94</v>
      </c>
      <c r="G695" s="21" t="s">
        <v>1778</v>
      </c>
      <c r="H695" s="22" t="str" cm="1">
        <f t="array" ref="H695">Reverse2_6(O695)</f>
        <v>00-010201</v>
      </c>
      <c r="I695" s="45" cm="1">
        <f t="array" ref="I695">HEX2DEC(Reverse(P695))</f>
        <v>93631153</v>
      </c>
      <c r="J695" s="45" cm="1">
        <f t="array" ref="J695">IF(Q695&lt;&gt;0, HEX2DEC(Reverse(Q695))-$I695,"")</f>
        <v>30</v>
      </c>
      <c r="K695" s="45" cm="1">
        <f t="array" ref="K695">IF(R695&lt;&gt;0, HEX2DEC(Reverse(R695))-$I695,"")</f>
        <v>312</v>
      </c>
      <c r="L695" s="45" t="str" cm="1">
        <f t="array" ref="L695">IF(S695&lt;&gt;0, HEX2DEC(Reverse(S695))-$I695,"")</f>
        <v/>
      </c>
      <c r="M695" s="45" cm="1">
        <f t="array" ref="M695">IF(T695&lt;&gt;0, HEX2DEC(Reverse(T695))-$I695,"")</f>
        <v>303</v>
      </c>
      <c r="O695" s="3">
        <v>1020100</v>
      </c>
      <c r="P695" s="3" t="s">
        <v>114</v>
      </c>
      <c r="Q695" s="3" t="s">
        <v>921</v>
      </c>
      <c r="R695" s="3" t="s">
        <v>1652</v>
      </c>
      <c r="S695" s="3">
        <v>0</v>
      </c>
      <c r="T695" s="3" t="s">
        <v>1625</v>
      </c>
      <c r="U695" s="3"/>
      <c r="V695" s="4"/>
    </row>
    <row r="696" spans="1:22" x14ac:dyDescent="0.2">
      <c r="A696" s="20" t="s">
        <v>784</v>
      </c>
      <c r="B696" s="20">
        <v>3936</v>
      </c>
      <c r="C696" s="21" t="s">
        <v>1</v>
      </c>
      <c r="D696" s="21" t="s">
        <v>2</v>
      </c>
      <c r="E696" s="21" t="s">
        <v>90</v>
      </c>
      <c r="F696" s="21" t="s">
        <v>94</v>
      </c>
      <c r="G696" s="21" t="s">
        <v>1778</v>
      </c>
      <c r="H696" s="22" t="str" cm="1">
        <f t="array" ref="H696">Reverse2_6(O696)</f>
        <v>00-010201</v>
      </c>
      <c r="I696" s="45" cm="1">
        <f t="array" ref="I696">HEX2DEC(Reverse(P696))</f>
        <v>93631153</v>
      </c>
      <c r="J696" s="45" cm="1">
        <f t="array" ref="J696">IF(Q696&lt;&gt;0, HEX2DEC(Reverse(Q696))-$I696,"")</f>
        <v>30</v>
      </c>
      <c r="K696" s="45" cm="1">
        <f t="array" ref="K696">IF(R696&lt;&gt;0, HEX2DEC(Reverse(R696))-$I696,"")</f>
        <v>313</v>
      </c>
      <c r="L696" s="45" t="str" cm="1">
        <f t="array" ref="L696">IF(S696&lt;&gt;0, HEX2DEC(Reverse(S696))-$I696,"")</f>
        <v/>
      </c>
      <c r="M696" s="45" cm="1">
        <f t="array" ref="M696">IF(T696&lt;&gt;0, HEX2DEC(Reverse(T696))-$I696,"")</f>
        <v>304</v>
      </c>
      <c r="O696" s="3">
        <v>1020100</v>
      </c>
      <c r="P696" s="3" t="s">
        <v>114</v>
      </c>
      <c r="Q696" s="3" t="s">
        <v>921</v>
      </c>
      <c r="R696" s="3" t="s">
        <v>1655</v>
      </c>
      <c r="S696" s="3">
        <v>0</v>
      </c>
      <c r="T696" s="3" t="s">
        <v>1628</v>
      </c>
      <c r="U696" s="3"/>
      <c r="V696" s="4"/>
    </row>
    <row r="697" spans="1:22" x14ac:dyDescent="0.2">
      <c r="A697" s="20" t="s">
        <v>785</v>
      </c>
      <c r="B697" s="20">
        <v>3937</v>
      </c>
      <c r="C697" s="21" t="s">
        <v>1</v>
      </c>
      <c r="D697" s="21" t="s">
        <v>2</v>
      </c>
      <c r="E697" s="21" t="s">
        <v>90</v>
      </c>
      <c r="F697" s="21" t="s">
        <v>94</v>
      </c>
      <c r="G697" s="21" t="s">
        <v>1778</v>
      </c>
      <c r="H697" s="22" t="str" cm="1">
        <f t="array" ref="H697">Reverse2_6(O697)</f>
        <v>00-010201</v>
      </c>
      <c r="I697" s="45" cm="1">
        <f t="array" ref="I697">HEX2DEC(Reverse(P697))</f>
        <v>93631153</v>
      </c>
      <c r="J697" s="45" cm="1">
        <f t="array" ref="J697">IF(Q697&lt;&gt;0, HEX2DEC(Reverse(Q697))-$I697,"")</f>
        <v>30</v>
      </c>
      <c r="K697" s="45" cm="1">
        <f t="array" ref="K697">IF(R697&lt;&gt;0, HEX2DEC(Reverse(R697))-$I697,"")</f>
        <v>314</v>
      </c>
      <c r="L697" s="45" t="str" cm="1">
        <f t="array" ref="L697">IF(S697&lt;&gt;0, HEX2DEC(Reverse(S697))-$I697,"")</f>
        <v/>
      </c>
      <c r="M697" s="45" cm="1">
        <f t="array" ref="M697">IF(T697&lt;&gt;0, HEX2DEC(Reverse(T697))-$I697,"")</f>
        <v>305</v>
      </c>
      <c r="O697" s="3">
        <v>1020100</v>
      </c>
      <c r="P697" s="3" t="s">
        <v>114</v>
      </c>
      <c r="Q697" s="3" t="s">
        <v>921</v>
      </c>
      <c r="R697" s="3" t="s">
        <v>1658</v>
      </c>
      <c r="S697" s="3">
        <v>0</v>
      </c>
      <c r="T697" s="3" t="s">
        <v>1631</v>
      </c>
      <c r="U697" s="3"/>
      <c r="V697" s="4"/>
    </row>
    <row r="698" spans="1:22" x14ac:dyDescent="0.2">
      <c r="A698" s="20" t="s">
        <v>786</v>
      </c>
      <c r="B698" s="20">
        <v>3938</v>
      </c>
      <c r="C698" s="21" t="s">
        <v>1</v>
      </c>
      <c r="D698" s="21" t="s">
        <v>2</v>
      </c>
      <c r="E698" s="21" t="s">
        <v>90</v>
      </c>
      <c r="F698" s="21" t="s">
        <v>94</v>
      </c>
      <c r="G698" s="21" t="s">
        <v>1778</v>
      </c>
      <c r="H698" s="22" t="str" cm="1">
        <f t="array" ref="H698">Reverse2_6(O698)</f>
        <v>00-010201</v>
      </c>
      <c r="I698" s="45" cm="1">
        <f t="array" ref="I698">HEX2DEC(Reverse(P698))</f>
        <v>93631153</v>
      </c>
      <c r="J698" s="45" cm="1">
        <f t="array" ref="J698">IF(Q698&lt;&gt;0, HEX2DEC(Reverse(Q698))-$I698,"")</f>
        <v>30</v>
      </c>
      <c r="K698" s="45" cm="1">
        <f t="array" ref="K698">IF(R698&lt;&gt;0, HEX2DEC(Reverse(R698))-$I698,"")</f>
        <v>315</v>
      </c>
      <c r="L698" s="45" t="str" cm="1">
        <f t="array" ref="L698">IF(S698&lt;&gt;0, HEX2DEC(Reverse(S698))-$I698,"")</f>
        <v/>
      </c>
      <c r="M698" s="45" cm="1">
        <f t="array" ref="M698">IF(T698&lt;&gt;0, HEX2DEC(Reverse(T698))-$I698,"")</f>
        <v>306</v>
      </c>
      <c r="O698" s="3">
        <v>1020100</v>
      </c>
      <c r="P698" s="3" t="s">
        <v>114</v>
      </c>
      <c r="Q698" s="3" t="s">
        <v>921</v>
      </c>
      <c r="R698" s="3" t="s">
        <v>1661</v>
      </c>
      <c r="S698" s="3">
        <v>0</v>
      </c>
      <c r="T698" s="3" t="s">
        <v>1634</v>
      </c>
      <c r="U698" s="3"/>
      <c r="V698" s="4"/>
    </row>
    <row r="699" spans="1:22" x14ac:dyDescent="0.2">
      <c r="A699" s="20" t="s">
        <v>787</v>
      </c>
      <c r="B699" s="20">
        <v>3939</v>
      </c>
      <c r="C699" s="21" t="s">
        <v>1</v>
      </c>
      <c r="D699" s="21" t="s">
        <v>2</v>
      </c>
      <c r="E699" s="21" t="s">
        <v>90</v>
      </c>
      <c r="F699" s="21" t="s">
        <v>94</v>
      </c>
      <c r="G699" s="21" t="s">
        <v>1778</v>
      </c>
      <c r="H699" s="22" t="str" cm="1">
        <f t="array" ref="H699">Reverse2_6(O699)</f>
        <v>00-010201</v>
      </c>
      <c r="I699" s="45" cm="1">
        <f t="array" ref="I699">HEX2DEC(Reverse(P699))</f>
        <v>93631153</v>
      </c>
      <c r="J699" s="45" cm="1">
        <f t="array" ref="J699">IF(Q699&lt;&gt;0, HEX2DEC(Reverse(Q699))-$I699,"")</f>
        <v>30</v>
      </c>
      <c r="K699" s="45" cm="1">
        <f t="array" ref="K699">IF(R699&lt;&gt;0, HEX2DEC(Reverse(R699))-$I699,"")</f>
        <v>316</v>
      </c>
      <c r="L699" s="45" t="str" cm="1">
        <f t="array" ref="L699">IF(S699&lt;&gt;0, HEX2DEC(Reverse(S699))-$I699,"")</f>
        <v/>
      </c>
      <c r="M699" s="45" cm="1">
        <f t="array" ref="M699">IF(T699&lt;&gt;0, HEX2DEC(Reverse(T699))-$I699,"")</f>
        <v>307</v>
      </c>
      <c r="O699" s="3">
        <v>1020100</v>
      </c>
      <c r="P699" s="3" t="s">
        <v>114</v>
      </c>
      <c r="Q699" s="3" t="s">
        <v>921</v>
      </c>
      <c r="R699" s="3" t="s">
        <v>1664</v>
      </c>
      <c r="S699" s="3">
        <v>0</v>
      </c>
      <c r="T699" s="3" t="s">
        <v>1637</v>
      </c>
      <c r="U699" s="3"/>
      <c r="V699" s="4"/>
    </row>
    <row r="700" spans="1:22" x14ac:dyDescent="0.2">
      <c r="A700" s="20" t="s">
        <v>788</v>
      </c>
      <c r="B700" s="20">
        <v>3940</v>
      </c>
      <c r="C700" s="21" t="s">
        <v>1</v>
      </c>
      <c r="D700" s="21" t="s">
        <v>2</v>
      </c>
      <c r="E700" s="21" t="s">
        <v>90</v>
      </c>
      <c r="F700" s="21" t="s">
        <v>94</v>
      </c>
      <c r="G700" s="21" t="s">
        <v>1778</v>
      </c>
      <c r="H700" s="22" t="str" cm="1">
        <f t="array" ref="H700">Reverse2_6(O700)</f>
        <v>00-010201</v>
      </c>
      <c r="I700" s="45" cm="1">
        <f t="array" ref="I700">HEX2DEC(Reverse(P700))</f>
        <v>93631153</v>
      </c>
      <c r="J700" s="45" cm="1">
        <f t="array" ref="J700">IF(Q700&lt;&gt;0, HEX2DEC(Reverse(Q700))-$I700,"")</f>
        <v>30</v>
      </c>
      <c r="K700" s="45" cm="1">
        <f t="array" ref="K700">IF(R700&lt;&gt;0, HEX2DEC(Reverse(R700))-$I700,"")</f>
        <v>317</v>
      </c>
      <c r="L700" s="45" t="str" cm="1">
        <f t="array" ref="L700">IF(S700&lt;&gt;0, HEX2DEC(Reverse(S700))-$I700,"")</f>
        <v/>
      </c>
      <c r="M700" s="45" cm="1">
        <f t="array" ref="M700">IF(T700&lt;&gt;0, HEX2DEC(Reverse(T700))-$I700,"")</f>
        <v>308</v>
      </c>
      <c r="O700" s="3">
        <v>1020100</v>
      </c>
      <c r="P700" s="3" t="s">
        <v>114</v>
      </c>
      <c r="Q700" s="3" t="s">
        <v>921</v>
      </c>
      <c r="R700" s="3" t="s">
        <v>1667</v>
      </c>
      <c r="S700" s="3">
        <v>0</v>
      </c>
      <c r="T700" s="3" t="s">
        <v>1640</v>
      </c>
      <c r="U700" s="3"/>
      <c r="V700" s="4"/>
    </row>
    <row r="701" spans="1:22" x14ac:dyDescent="0.2">
      <c r="A701" s="16" t="s">
        <v>789</v>
      </c>
      <c r="B701" s="16">
        <v>3941</v>
      </c>
      <c r="C701" s="15" t="s">
        <v>2</v>
      </c>
      <c r="D701" s="15" t="s">
        <v>1</v>
      </c>
      <c r="E701" s="15" t="s">
        <v>92</v>
      </c>
      <c r="F701" s="15" t="s">
        <v>96</v>
      </c>
      <c r="G701" s="15"/>
      <c r="H701" s="17" t="str" cm="1">
        <f t="array" ref="H701">Reverse2_6(O701)</f>
        <v>00-010101</v>
      </c>
      <c r="I701" s="18" cm="1">
        <f t="array" ref="I701">HEX2DEC(Reverse(P701))</f>
        <v>93631153</v>
      </c>
      <c r="J701" s="18" cm="1">
        <f t="array" ref="J701">IF(Q701&lt;&gt;0, HEX2DEC(Reverse(Q701))-$I701,"")</f>
        <v>318</v>
      </c>
      <c r="K701" s="18" cm="1">
        <f t="array" ref="K701">IF(R701&lt;&gt;0, HEX2DEC(Reverse(R701))-$I701,"")</f>
        <v>30</v>
      </c>
      <c r="L701" s="18" cm="1">
        <f t="array" ref="L701">IF(S701&lt;&gt;0, HEX2DEC(Reverse(S701))-$I701,"")</f>
        <v>309</v>
      </c>
      <c r="M701" s="18" cm="1">
        <f t="array" ref="M701">IF(T701&lt;&gt;0, HEX2DEC(Reverse(T701))-$I701,"")</f>
        <v>30</v>
      </c>
      <c r="O701" s="3">
        <v>1010100</v>
      </c>
      <c r="P701" s="3" t="s">
        <v>114</v>
      </c>
      <c r="Q701" s="3" t="s">
        <v>1670</v>
      </c>
      <c r="R701" s="12" t="s">
        <v>921</v>
      </c>
      <c r="S701" s="3" t="s">
        <v>1643</v>
      </c>
      <c r="T701" s="12" t="s">
        <v>921</v>
      </c>
      <c r="U701" s="3" t="s">
        <v>1671</v>
      </c>
      <c r="V701" s="4" t="s">
        <v>1672</v>
      </c>
    </row>
    <row r="702" spans="1:22" x14ac:dyDescent="0.2">
      <c r="A702" s="20" t="s">
        <v>790</v>
      </c>
      <c r="B702" s="20">
        <v>3942</v>
      </c>
      <c r="C702" s="21" t="s">
        <v>1</v>
      </c>
      <c r="D702" s="21" t="s">
        <v>2</v>
      </c>
      <c r="E702" s="21" t="s">
        <v>90</v>
      </c>
      <c r="F702" s="21" t="s">
        <v>94</v>
      </c>
      <c r="G702" s="21" t="s">
        <v>1778</v>
      </c>
      <c r="H702" s="22" t="str" cm="1">
        <f t="array" ref="H702">Reverse2_6(O702)</f>
        <v>00-010201</v>
      </c>
      <c r="I702" s="45" cm="1">
        <f t="array" ref="I702">HEX2DEC(Reverse(P702))</f>
        <v>93631153</v>
      </c>
      <c r="J702" s="45" cm="1">
        <f t="array" ref="J702">IF(Q702&lt;&gt;0, HEX2DEC(Reverse(Q702))-$I702,"")</f>
        <v>30</v>
      </c>
      <c r="K702" s="45" cm="1">
        <f t="array" ref="K702">IF(R702&lt;&gt;0, HEX2DEC(Reverse(R702))-$I702,"")</f>
        <v>318</v>
      </c>
      <c r="L702" s="45" t="str" cm="1">
        <f t="array" ref="L702">IF(S702&lt;&gt;0, HEX2DEC(Reverse(S702))-$I702,"")</f>
        <v/>
      </c>
      <c r="M702" s="45" cm="1">
        <f t="array" ref="M702">IF(T702&lt;&gt;0, HEX2DEC(Reverse(T702))-$I702,"")</f>
        <v>309</v>
      </c>
      <c r="O702" s="3">
        <v>1020100</v>
      </c>
      <c r="P702" s="3" t="s">
        <v>114</v>
      </c>
      <c r="Q702" s="3" t="s">
        <v>921</v>
      </c>
      <c r="R702" s="3" t="s">
        <v>1670</v>
      </c>
      <c r="S702" s="3">
        <v>0</v>
      </c>
      <c r="T702" s="3" t="s">
        <v>1643</v>
      </c>
      <c r="U702" s="3"/>
      <c r="V702" s="4"/>
    </row>
    <row r="703" spans="1:22" x14ac:dyDescent="0.2">
      <c r="A703" s="16" t="s">
        <v>791</v>
      </c>
      <c r="B703" s="16">
        <v>3943</v>
      </c>
      <c r="C703" s="15" t="s">
        <v>2</v>
      </c>
      <c r="D703" s="15" t="s">
        <v>1</v>
      </c>
      <c r="E703" s="15" t="s">
        <v>92</v>
      </c>
      <c r="F703" s="15" t="s">
        <v>96</v>
      </c>
      <c r="G703" s="15"/>
      <c r="H703" s="17" t="str" cm="1">
        <f t="array" ref="H703">Reverse2_6(O703)</f>
        <v>00-010101</v>
      </c>
      <c r="I703" s="18" cm="1">
        <f t="array" ref="I703">HEX2DEC(Reverse(P703))</f>
        <v>93631153</v>
      </c>
      <c r="J703" s="18" cm="1">
        <f t="array" ref="J703">IF(Q703&lt;&gt;0, HEX2DEC(Reverse(Q703))-$I703,"")</f>
        <v>319</v>
      </c>
      <c r="K703" s="18" cm="1">
        <f t="array" ref="K703">IF(R703&lt;&gt;0, HEX2DEC(Reverse(R703))-$I703,"")</f>
        <v>30</v>
      </c>
      <c r="L703" s="18" cm="1">
        <f t="array" ref="L703">IF(S703&lt;&gt;0, HEX2DEC(Reverse(S703))-$I703,"")</f>
        <v>310</v>
      </c>
      <c r="M703" s="18" cm="1">
        <f t="array" ref="M703">IF(T703&lt;&gt;0, HEX2DEC(Reverse(T703))-$I703,"")</f>
        <v>30</v>
      </c>
      <c r="O703" s="3">
        <v>1010100</v>
      </c>
      <c r="P703" s="3" t="s">
        <v>114</v>
      </c>
      <c r="Q703" s="3" t="s">
        <v>1673</v>
      </c>
      <c r="R703" s="12" t="s">
        <v>921</v>
      </c>
      <c r="S703" s="3" t="s">
        <v>1646</v>
      </c>
      <c r="T703" s="12" t="s">
        <v>921</v>
      </c>
      <c r="U703" s="3" t="s">
        <v>1674</v>
      </c>
      <c r="V703" s="4" t="s">
        <v>1675</v>
      </c>
    </row>
    <row r="704" spans="1:22" x14ac:dyDescent="0.2">
      <c r="A704" s="16" t="s">
        <v>792</v>
      </c>
      <c r="B704" s="16">
        <v>3944</v>
      </c>
      <c r="C704" s="15" t="s">
        <v>2</v>
      </c>
      <c r="D704" s="15" t="s">
        <v>1</v>
      </c>
      <c r="E704" s="15" t="s">
        <v>92</v>
      </c>
      <c r="F704" s="15" t="s">
        <v>96</v>
      </c>
      <c r="G704" s="15"/>
      <c r="H704" s="17" t="str" cm="1">
        <f t="array" ref="H704">Reverse2_6(O704)</f>
        <v>00-010101</v>
      </c>
      <c r="I704" s="18" cm="1">
        <f t="array" ref="I704">HEX2DEC(Reverse(P704))</f>
        <v>93631153</v>
      </c>
      <c r="J704" s="18" cm="1">
        <f t="array" ref="J704">IF(Q704&lt;&gt;0, HEX2DEC(Reverse(Q704))-$I704,"")</f>
        <v>320</v>
      </c>
      <c r="K704" s="18" cm="1">
        <f t="array" ref="K704">IF(R704&lt;&gt;0, HEX2DEC(Reverse(R704))-$I704,"")</f>
        <v>30</v>
      </c>
      <c r="L704" s="18" cm="1">
        <f t="array" ref="L704">IF(S704&lt;&gt;0, HEX2DEC(Reverse(S704))-$I704,"")</f>
        <v>311</v>
      </c>
      <c r="M704" s="18" cm="1">
        <f t="array" ref="M704">IF(T704&lt;&gt;0, HEX2DEC(Reverse(T704))-$I704,"")</f>
        <v>30</v>
      </c>
      <c r="O704" s="3">
        <v>1010100</v>
      </c>
      <c r="P704" s="3" t="s">
        <v>114</v>
      </c>
      <c r="Q704" s="3" t="s">
        <v>1676</v>
      </c>
      <c r="R704" s="12" t="s">
        <v>921</v>
      </c>
      <c r="S704" s="3" t="s">
        <v>1649</v>
      </c>
      <c r="T704" s="12" t="s">
        <v>921</v>
      </c>
      <c r="U704" s="3" t="s">
        <v>1677</v>
      </c>
      <c r="V704" s="4" t="s">
        <v>1678</v>
      </c>
    </row>
    <row r="705" spans="1:22" x14ac:dyDescent="0.2">
      <c r="A705" s="16" t="s">
        <v>793</v>
      </c>
      <c r="B705" s="16">
        <v>3945</v>
      </c>
      <c r="C705" s="15" t="s">
        <v>2</v>
      </c>
      <c r="D705" s="15" t="s">
        <v>1</v>
      </c>
      <c r="E705" s="15" t="s">
        <v>92</v>
      </c>
      <c r="F705" s="15" t="s">
        <v>96</v>
      </c>
      <c r="G705" s="15"/>
      <c r="H705" s="17" t="str" cm="1">
        <f t="array" ref="H705">Reverse2_6(O705)</f>
        <v>00-010101</v>
      </c>
      <c r="I705" s="18" cm="1">
        <f t="array" ref="I705">HEX2DEC(Reverse(P705))</f>
        <v>93631153</v>
      </c>
      <c r="J705" s="18" cm="1">
        <f t="array" ref="J705">IF(Q705&lt;&gt;0, HEX2DEC(Reverse(Q705))-$I705,"")</f>
        <v>321</v>
      </c>
      <c r="K705" s="18" cm="1">
        <f t="array" ref="K705">IF(R705&lt;&gt;0, HEX2DEC(Reverse(R705))-$I705,"")</f>
        <v>30</v>
      </c>
      <c r="L705" s="18" cm="1">
        <f t="array" ref="L705">IF(S705&lt;&gt;0, HEX2DEC(Reverse(S705))-$I705,"")</f>
        <v>312</v>
      </c>
      <c r="M705" s="18" cm="1">
        <f t="array" ref="M705">IF(T705&lt;&gt;0, HEX2DEC(Reverse(T705))-$I705,"")</f>
        <v>30</v>
      </c>
      <c r="O705" s="3">
        <v>1010100</v>
      </c>
      <c r="P705" s="3" t="s">
        <v>114</v>
      </c>
      <c r="Q705" s="3" t="s">
        <v>1679</v>
      </c>
      <c r="R705" s="12" t="s">
        <v>921</v>
      </c>
      <c r="S705" s="3" t="s">
        <v>1652</v>
      </c>
      <c r="T705" s="12" t="s">
        <v>921</v>
      </c>
      <c r="U705" s="3" t="s">
        <v>1680</v>
      </c>
      <c r="V705" s="4" t="s">
        <v>1681</v>
      </c>
    </row>
    <row r="706" spans="1:22" x14ac:dyDescent="0.2">
      <c r="A706" s="16" t="s">
        <v>794</v>
      </c>
      <c r="B706" s="16">
        <v>3946</v>
      </c>
      <c r="C706" s="15" t="s">
        <v>2</v>
      </c>
      <c r="D706" s="15" t="s">
        <v>1</v>
      </c>
      <c r="E706" s="15" t="s">
        <v>92</v>
      </c>
      <c r="F706" s="15" t="s">
        <v>96</v>
      </c>
      <c r="G706" s="15"/>
      <c r="H706" s="17" t="str" cm="1">
        <f t="array" ref="H706">Reverse2_6(O706)</f>
        <v>00-010101</v>
      </c>
      <c r="I706" s="18" cm="1">
        <f t="array" ref="I706">HEX2DEC(Reverse(P706))</f>
        <v>93631153</v>
      </c>
      <c r="J706" s="18" cm="1">
        <f t="array" ref="J706">IF(Q706&lt;&gt;0, HEX2DEC(Reverse(Q706))-$I706,"")</f>
        <v>322</v>
      </c>
      <c r="K706" s="18" cm="1">
        <f t="array" ref="K706">IF(R706&lt;&gt;0, HEX2DEC(Reverse(R706))-$I706,"")</f>
        <v>30</v>
      </c>
      <c r="L706" s="18" cm="1">
        <f t="array" ref="L706">IF(S706&lt;&gt;0, HEX2DEC(Reverse(S706))-$I706,"")</f>
        <v>313</v>
      </c>
      <c r="M706" s="18" cm="1">
        <f t="array" ref="M706">IF(T706&lt;&gt;0, HEX2DEC(Reverse(T706))-$I706,"")</f>
        <v>30</v>
      </c>
      <c r="O706" s="3">
        <v>1010100</v>
      </c>
      <c r="P706" s="3" t="s">
        <v>114</v>
      </c>
      <c r="Q706" s="3" t="s">
        <v>1682</v>
      </c>
      <c r="R706" s="12" t="s">
        <v>921</v>
      </c>
      <c r="S706" s="3" t="s">
        <v>1655</v>
      </c>
      <c r="T706" s="12" t="s">
        <v>921</v>
      </c>
      <c r="U706" s="3" t="s">
        <v>1683</v>
      </c>
      <c r="V706" s="4" t="s">
        <v>1684</v>
      </c>
    </row>
    <row r="707" spans="1:22" x14ac:dyDescent="0.2">
      <c r="A707" s="16" t="s">
        <v>795</v>
      </c>
      <c r="B707" s="16">
        <v>3947</v>
      </c>
      <c r="C707" s="15" t="s">
        <v>2</v>
      </c>
      <c r="D707" s="15" t="s">
        <v>1</v>
      </c>
      <c r="E707" s="15" t="s">
        <v>92</v>
      </c>
      <c r="F707" s="15" t="s">
        <v>96</v>
      </c>
      <c r="G707" s="15"/>
      <c r="H707" s="17" t="str" cm="1">
        <f t="array" ref="H707">Reverse2_6(O707)</f>
        <v>00-010101</v>
      </c>
      <c r="I707" s="18" cm="1">
        <f t="array" ref="I707">HEX2DEC(Reverse(P707))</f>
        <v>93631153</v>
      </c>
      <c r="J707" s="18" cm="1">
        <f t="array" ref="J707">IF(Q707&lt;&gt;0, HEX2DEC(Reverse(Q707))-$I707,"")</f>
        <v>323</v>
      </c>
      <c r="K707" s="18" cm="1">
        <f t="array" ref="K707">IF(R707&lt;&gt;0, HEX2DEC(Reverse(R707))-$I707,"")</f>
        <v>30</v>
      </c>
      <c r="L707" s="18" cm="1">
        <f t="array" ref="L707">IF(S707&lt;&gt;0, HEX2DEC(Reverse(S707))-$I707,"")</f>
        <v>314</v>
      </c>
      <c r="M707" s="18" cm="1">
        <f t="array" ref="M707">IF(T707&lt;&gt;0, HEX2DEC(Reverse(T707))-$I707,"")</f>
        <v>30</v>
      </c>
      <c r="O707" s="3">
        <v>1010100</v>
      </c>
      <c r="P707" s="3" t="s">
        <v>114</v>
      </c>
      <c r="Q707" s="3" t="s">
        <v>1685</v>
      </c>
      <c r="R707" s="12" t="s">
        <v>921</v>
      </c>
      <c r="S707" s="3" t="s">
        <v>1658</v>
      </c>
      <c r="T707" s="12" t="s">
        <v>921</v>
      </c>
      <c r="U707" s="3">
        <v>29962495</v>
      </c>
      <c r="V707" s="4" t="s">
        <v>1686</v>
      </c>
    </row>
    <row r="708" spans="1:22" x14ac:dyDescent="0.2">
      <c r="A708" s="16" t="s">
        <v>796</v>
      </c>
      <c r="B708" s="16">
        <v>3948</v>
      </c>
      <c r="C708" s="15" t="s">
        <v>2</v>
      </c>
      <c r="D708" s="15" t="s">
        <v>1</v>
      </c>
      <c r="E708" s="15" t="s">
        <v>92</v>
      </c>
      <c r="F708" s="15" t="s">
        <v>96</v>
      </c>
      <c r="G708" s="15"/>
      <c r="H708" s="17" t="str" cm="1">
        <f t="array" ref="H708">Reverse2_6(O708)</f>
        <v>00-010101</v>
      </c>
      <c r="I708" s="18" cm="1">
        <f t="array" ref="I708">HEX2DEC(Reverse(P708))</f>
        <v>93631153</v>
      </c>
      <c r="J708" s="18" cm="1">
        <f t="array" ref="J708">IF(Q708&lt;&gt;0, HEX2DEC(Reverse(Q708))-$I708,"")</f>
        <v>324</v>
      </c>
      <c r="K708" s="18" cm="1">
        <f t="array" ref="K708">IF(R708&lt;&gt;0, HEX2DEC(Reverse(R708))-$I708,"")</f>
        <v>30</v>
      </c>
      <c r="L708" s="18" cm="1">
        <f t="array" ref="L708">IF(S708&lt;&gt;0, HEX2DEC(Reverse(S708))-$I708,"")</f>
        <v>315</v>
      </c>
      <c r="M708" s="18" cm="1">
        <f t="array" ref="M708">IF(T708&lt;&gt;0, HEX2DEC(Reverse(T708))-$I708,"")</f>
        <v>30</v>
      </c>
      <c r="O708" s="3">
        <v>1010100</v>
      </c>
      <c r="P708" s="3" t="s">
        <v>114</v>
      </c>
      <c r="Q708" s="3" t="s">
        <v>1687</v>
      </c>
      <c r="R708" s="12" t="s">
        <v>921</v>
      </c>
      <c r="S708" s="3" t="s">
        <v>1661</v>
      </c>
      <c r="T708" s="12" t="s">
        <v>921</v>
      </c>
      <c r="U708" s="3" t="s">
        <v>1688</v>
      </c>
      <c r="V708" s="4" t="s">
        <v>1689</v>
      </c>
    </row>
    <row r="709" spans="1:22" x14ac:dyDescent="0.2">
      <c r="A709" s="16" t="s">
        <v>797</v>
      </c>
      <c r="B709" s="16">
        <v>3949</v>
      </c>
      <c r="C709" s="15" t="s">
        <v>2</v>
      </c>
      <c r="D709" s="15" t="s">
        <v>1</v>
      </c>
      <c r="E709" s="15" t="s">
        <v>92</v>
      </c>
      <c r="F709" s="15" t="s">
        <v>96</v>
      </c>
      <c r="G709" s="15"/>
      <c r="H709" s="17" t="str" cm="1">
        <f t="array" ref="H709">Reverse2_6(O709)</f>
        <v>00-010101</v>
      </c>
      <c r="I709" s="18" cm="1">
        <f t="array" ref="I709">HEX2DEC(Reverse(P709))</f>
        <v>93631153</v>
      </c>
      <c r="J709" s="18" cm="1">
        <f t="array" ref="J709">IF(Q709&lt;&gt;0, HEX2DEC(Reverse(Q709))-$I709,"")</f>
        <v>325</v>
      </c>
      <c r="K709" s="18" cm="1">
        <f t="array" ref="K709">IF(R709&lt;&gt;0, HEX2DEC(Reverse(R709))-$I709,"")</f>
        <v>30</v>
      </c>
      <c r="L709" s="18" cm="1">
        <f t="array" ref="L709">IF(S709&lt;&gt;0, HEX2DEC(Reverse(S709))-$I709,"")</f>
        <v>316</v>
      </c>
      <c r="M709" s="18" cm="1">
        <f t="array" ref="M709">IF(T709&lt;&gt;0, HEX2DEC(Reverse(T709))-$I709,"")</f>
        <v>30</v>
      </c>
      <c r="O709" s="3">
        <v>1010100</v>
      </c>
      <c r="P709" s="3" t="s">
        <v>114</v>
      </c>
      <c r="Q709" s="3" t="s">
        <v>1690</v>
      </c>
      <c r="R709" s="12" t="s">
        <v>921</v>
      </c>
      <c r="S709" s="3" t="s">
        <v>1664</v>
      </c>
      <c r="T709" s="12" t="s">
        <v>921</v>
      </c>
      <c r="U709" s="3" t="s">
        <v>1691</v>
      </c>
      <c r="V709" s="4" t="s">
        <v>1692</v>
      </c>
    </row>
    <row r="710" spans="1:22" x14ac:dyDescent="0.2">
      <c r="A710" s="16" t="s">
        <v>798</v>
      </c>
      <c r="B710" s="16">
        <v>3950</v>
      </c>
      <c r="C710" s="15" t="s">
        <v>2</v>
      </c>
      <c r="D710" s="15" t="s">
        <v>1</v>
      </c>
      <c r="E710" s="15" t="s">
        <v>92</v>
      </c>
      <c r="F710" s="15" t="s">
        <v>96</v>
      </c>
      <c r="G710" s="15"/>
      <c r="H710" s="17" t="str" cm="1">
        <f t="array" ref="H710">Reverse2_6(O710)</f>
        <v>00-010101</v>
      </c>
      <c r="I710" s="18" cm="1">
        <f t="array" ref="I710">HEX2DEC(Reverse(P710))</f>
        <v>93631153</v>
      </c>
      <c r="J710" s="18" cm="1">
        <f t="array" ref="J710">IF(Q710&lt;&gt;0, HEX2DEC(Reverse(Q710))-$I710,"")</f>
        <v>326</v>
      </c>
      <c r="K710" s="18" cm="1">
        <f t="array" ref="K710">IF(R710&lt;&gt;0, HEX2DEC(Reverse(R710))-$I710,"")</f>
        <v>30</v>
      </c>
      <c r="L710" s="18" cm="1">
        <f t="array" ref="L710">IF(S710&lt;&gt;0, HEX2DEC(Reverse(S710))-$I710,"")</f>
        <v>317</v>
      </c>
      <c r="M710" s="18" cm="1">
        <f t="array" ref="M710">IF(T710&lt;&gt;0, HEX2DEC(Reverse(T710))-$I710,"")</f>
        <v>30</v>
      </c>
      <c r="O710" s="3">
        <v>1010100</v>
      </c>
      <c r="P710" s="3" t="s">
        <v>114</v>
      </c>
      <c r="Q710" s="3" t="s">
        <v>1693</v>
      </c>
      <c r="R710" s="12" t="s">
        <v>921</v>
      </c>
      <c r="S710" s="3" t="s">
        <v>1667</v>
      </c>
      <c r="T710" s="12" t="s">
        <v>921</v>
      </c>
      <c r="U710" s="3">
        <v>8257103</v>
      </c>
      <c r="V710" s="4" t="s">
        <v>1694</v>
      </c>
    </row>
    <row r="711" spans="1:22" x14ac:dyDescent="0.2">
      <c r="A711" s="20" t="s">
        <v>799</v>
      </c>
      <c r="B711" s="20">
        <v>3951</v>
      </c>
      <c r="C711" s="21" t="s">
        <v>1</v>
      </c>
      <c r="D711" s="21" t="s">
        <v>2</v>
      </c>
      <c r="E711" s="21" t="s">
        <v>90</v>
      </c>
      <c r="F711" s="21" t="s">
        <v>94</v>
      </c>
      <c r="G711" s="21" t="s">
        <v>1778</v>
      </c>
      <c r="H711" s="22" t="str" cm="1">
        <f t="array" ref="H711">Reverse2_6(O711)</f>
        <v>00-010201</v>
      </c>
      <c r="I711" s="45" cm="1">
        <f t="array" ref="I711">HEX2DEC(Reverse(P711))</f>
        <v>93631153</v>
      </c>
      <c r="J711" s="45" cm="1">
        <f t="array" ref="J711">IF(Q711&lt;&gt;0, HEX2DEC(Reverse(Q711))-$I711,"")</f>
        <v>30</v>
      </c>
      <c r="K711" s="45" cm="1">
        <f t="array" ref="K711">IF(R711&lt;&gt;0, HEX2DEC(Reverse(R711))-$I711,"")</f>
        <v>319</v>
      </c>
      <c r="L711" s="45" t="str" cm="1">
        <f t="array" ref="L711">IF(S711&lt;&gt;0, HEX2DEC(Reverse(S711))-$I711,"")</f>
        <v/>
      </c>
      <c r="M711" s="45" cm="1">
        <f t="array" ref="M711">IF(T711&lt;&gt;0, HEX2DEC(Reverse(T711))-$I711,"")</f>
        <v>310</v>
      </c>
      <c r="O711" s="3">
        <v>1020100</v>
      </c>
      <c r="P711" s="3" t="s">
        <v>114</v>
      </c>
      <c r="Q711" s="3" t="s">
        <v>921</v>
      </c>
      <c r="R711" s="3" t="s">
        <v>1673</v>
      </c>
      <c r="S711" s="3">
        <v>0</v>
      </c>
      <c r="T711" s="3" t="s">
        <v>1646</v>
      </c>
      <c r="U711" s="3"/>
      <c r="V711" s="4"/>
    </row>
    <row r="712" spans="1:22" x14ac:dyDescent="0.2">
      <c r="A712" s="20" t="s">
        <v>800</v>
      </c>
      <c r="B712" s="20">
        <v>3952</v>
      </c>
      <c r="C712" s="21" t="s">
        <v>1</v>
      </c>
      <c r="D712" s="21" t="s">
        <v>2</v>
      </c>
      <c r="E712" s="21" t="s">
        <v>90</v>
      </c>
      <c r="F712" s="21" t="s">
        <v>94</v>
      </c>
      <c r="G712" s="21" t="s">
        <v>1778</v>
      </c>
      <c r="H712" s="22" t="str" cm="1">
        <f t="array" ref="H712">Reverse2_6(O712)</f>
        <v>00-010201</v>
      </c>
      <c r="I712" s="45" cm="1">
        <f t="array" ref="I712">HEX2DEC(Reverse(P712))</f>
        <v>93631153</v>
      </c>
      <c r="J712" s="45" cm="1">
        <f t="array" ref="J712">IF(Q712&lt;&gt;0, HEX2DEC(Reverse(Q712))-$I712,"")</f>
        <v>30</v>
      </c>
      <c r="K712" s="45" cm="1">
        <f t="array" ref="K712">IF(R712&lt;&gt;0, HEX2DEC(Reverse(R712))-$I712,"")</f>
        <v>320</v>
      </c>
      <c r="L712" s="45" t="str" cm="1">
        <f t="array" ref="L712">IF(S712&lt;&gt;0, HEX2DEC(Reverse(S712))-$I712,"")</f>
        <v/>
      </c>
      <c r="M712" s="45" cm="1">
        <f t="array" ref="M712">IF(T712&lt;&gt;0, HEX2DEC(Reverse(T712))-$I712,"")</f>
        <v>311</v>
      </c>
      <c r="O712" s="3">
        <v>1020100</v>
      </c>
      <c r="P712" s="3" t="s">
        <v>114</v>
      </c>
      <c r="Q712" s="3" t="s">
        <v>921</v>
      </c>
      <c r="R712" s="3" t="s">
        <v>1676</v>
      </c>
      <c r="S712" s="3">
        <v>0</v>
      </c>
      <c r="T712" s="3" t="s">
        <v>1649</v>
      </c>
      <c r="U712" s="3"/>
      <c r="V712" s="4"/>
    </row>
    <row r="713" spans="1:22" x14ac:dyDescent="0.2">
      <c r="A713" s="20" t="s">
        <v>801</v>
      </c>
      <c r="B713" s="20">
        <v>3953</v>
      </c>
      <c r="C713" s="21" t="s">
        <v>1</v>
      </c>
      <c r="D713" s="21" t="s">
        <v>2</v>
      </c>
      <c r="E713" s="21" t="s">
        <v>90</v>
      </c>
      <c r="F713" s="21" t="s">
        <v>94</v>
      </c>
      <c r="G713" s="21" t="s">
        <v>1778</v>
      </c>
      <c r="H713" s="22" t="str" cm="1">
        <f t="array" ref="H713">Reverse2_6(O713)</f>
        <v>00-010201</v>
      </c>
      <c r="I713" s="45" cm="1">
        <f t="array" ref="I713">HEX2DEC(Reverse(P713))</f>
        <v>93631153</v>
      </c>
      <c r="J713" s="45" cm="1">
        <f t="array" ref="J713">IF(Q713&lt;&gt;0, HEX2DEC(Reverse(Q713))-$I713,"")</f>
        <v>30</v>
      </c>
      <c r="K713" s="45" cm="1">
        <f t="array" ref="K713">IF(R713&lt;&gt;0, HEX2DEC(Reverse(R713))-$I713,"")</f>
        <v>321</v>
      </c>
      <c r="L713" s="45" t="str" cm="1">
        <f t="array" ref="L713">IF(S713&lt;&gt;0, HEX2DEC(Reverse(S713))-$I713,"")</f>
        <v/>
      </c>
      <c r="M713" s="45" cm="1">
        <f t="array" ref="M713">IF(T713&lt;&gt;0, HEX2DEC(Reverse(T713))-$I713,"")</f>
        <v>312</v>
      </c>
      <c r="O713" s="3">
        <v>1020100</v>
      </c>
      <c r="P713" s="3" t="s">
        <v>114</v>
      </c>
      <c r="Q713" s="3" t="s">
        <v>921</v>
      </c>
      <c r="R713" s="3" t="s">
        <v>1679</v>
      </c>
      <c r="S713" s="3">
        <v>0</v>
      </c>
      <c r="T713" s="3" t="s">
        <v>1652</v>
      </c>
      <c r="U713" s="3"/>
      <c r="V713" s="4"/>
    </row>
    <row r="714" spans="1:22" x14ac:dyDescent="0.2">
      <c r="A714" s="20" t="s">
        <v>802</v>
      </c>
      <c r="B714" s="20">
        <v>3954</v>
      </c>
      <c r="C714" s="21" t="s">
        <v>1</v>
      </c>
      <c r="D714" s="21" t="s">
        <v>2</v>
      </c>
      <c r="E714" s="21" t="s">
        <v>90</v>
      </c>
      <c r="F714" s="21" t="s">
        <v>94</v>
      </c>
      <c r="G714" s="21" t="s">
        <v>1778</v>
      </c>
      <c r="H714" s="22" t="str" cm="1">
        <f t="array" ref="H714">Reverse2_6(O714)</f>
        <v>00-010201</v>
      </c>
      <c r="I714" s="45" cm="1">
        <f t="array" ref="I714">HEX2DEC(Reverse(P714))</f>
        <v>93631153</v>
      </c>
      <c r="J714" s="45" cm="1">
        <f t="array" ref="J714">IF(Q714&lt;&gt;0, HEX2DEC(Reverse(Q714))-$I714,"")</f>
        <v>30</v>
      </c>
      <c r="K714" s="45" cm="1">
        <f t="array" ref="K714">IF(R714&lt;&gt;0, HEX2DEC(Reverse(R714))-$I714,"")</f>
        <v>322</v>
      </c>
      <c r="L714" s="45" t="str" cm="1">
        <f t="array" ref="L714">IF(S714&lt;&gt;0, HEX2DEC(Reverse(S714))-$I714,"")</f>
        <v/>
      </c>
      <c r="M714" s="45" cm="1">
        <f t="array" ref="M714">IF(T714&lt;&gt;0, HEX2DEC(Reverse(T714))-$I714,"")</f>
        <v>313</v>
      </c>
      <c r="O714" s="3">
        <v>1020100</v>
      </c>
      <c r="P714" s="3" t="s">
        <v>114</v>
      </c>
      <c r="Q714" s="3" t="s">
        <v>921</v>
      </c>
      <c r="R714" s="3" t="s">
        <v>1682</v>
      </c>
      <c r="S714" s="3">
        <v>0</v>
      </c>
      <c r="T714" s="3" t="s">
        <v>1655</v>
      </c>
      <c r="U714" s="3"/>
      <c r="V714" s="4"/>
    </row>
    <row r="715" spans="1:22" x14ac:dyDescent="0.2">
      <c r="A715" s="20" t="s">
        <v>803</v>
      </c>
      <c r="B715" s="20">
        <v>3955</v>
      </c>
      <c r="C715" s="21" t="s">
        <v>1</v>
      </c>
      <c r="D715" s="21" t="s">
        <v>2</v>
      </c>
      <c r="E715" s="21" t="s">
        <v>90</v>
      </c>
      <c r="F715" s="21" t="s">
        <v>94</v>
      </c>
      <c r="G715" s="21" t="s">
        <v>1778</v>
      </c>
      <c r="H715" s="22" t="str" cm="1">
        <f t="array" ref="H715">Reverse2_6(O715)</f>
        <v>00-010201</v>
      </c>
      <c r="I715" s="45" cm="1">
        <f t="array" ref="I715">HEX2DEC(Reverse(P715))</f>
        <v>93631153</v>
      </c>
      <c r="J715" s="45" cm="1">
        <f t="array" ref="J715">IF(Q715&lt;&gt;0, HEX2DEC(Reverse(Q715))-$I715,"")</f>
        <v>30</v>
      </c>
      <c r="K715" s="45" cm="1">
        <f t="array" ref="K715">IF(R715&lt;&gt;0, HEX2DEC(Reverse(R715))-$I715,"")</f>
        <v>323</v>
      </c>
      <c r="L715" s="45" t="str" cm="1">
        <f t="array" ref="L715">IF(S715&lt;&gt;0, HEX2DEC(Reverse(S715))-$I715,"")</f>
        <v/>
      </c>
      <c r="M715" s="45" cm="1">
        <f t="array" ref="M715">IF(T715&lt;&gt;0, HEX2DEC(Reverse(T715))-$I715,"")</f>
        <v>314</v>
      </c>
      <c r="O715" s="3">
        <v>1020100</v>
      </c>
      <c r="P715" s="3" t="s">
        <v>114</v>
      </c>
      <c r="Q715" s="3" t="s">
        <v>921</v>
      </c>
      <c r="R715" s="3" t="s">
        <v>1685</v>
      </c>
      <c r="S715" s="3">
        <v>0</v>
      </c>
      <c r="T715" s="3" t="s">
        <v>1658</v>
      </c>
      <c r="U715" s="3"/>
      <c r="V715" s="4"/>
    </row>
    <row r="716" spans="1:22" x14ac:dyDescent="0.2">
      <c r="A716" s="20" t="s">
        <v>804</v>
      </c>
      <c r="B716" s="20">
        <v>3956</v>
      </c>
      <c r="C716" s="21" t="s">
        <v>1</v>
      </c>
      <c r="D716" s="21" t="s">
        <v>2</v>
      </c>
      <c r="E716" s="21" t="s">
        <v>90</v>
      </c>
      <c r="F716" s="21" t="s">
        <v>94</v>
      </c>
      <c r="G716" s="21" t="s">
        <v>1778</v>
      </c>
      <c r="H716" s="22" t="str" cm="1">
        <f t="array" ref="H716">Reverse2_6(O716)</f>
        <v>00-010201</v>
      </c>
      <c r="I716" s="45" cm="1">
        <f t="array" ref="I716">HEX2DEC(Reverse(P716))</f>
        <v>93631153</v>
      </c>
      <c r="J716" s="45" cm="1">
        <f t="array" ref="J716">IF(Q716&lt;&gt;0, HEX2DEC(Reverse(Q716))-$I716,"")</f>
        <v>30</v>
      </c>
      <c r="K716" s="45" cm="1">
        <f t="array" ref="K716">IF(R716&lt;&gt;0, HEX2DEC(Reverse(R716))-$I716,"")</f>
        <v>324</v>
      </c>
      <c r="L716" s="45" t="str" cm="1">
        <f t="array" ref="L716">IF(S716&lt;&gt;0, HEX2DEC(Reverse(S716))-$I716,"")</f>
        <v/>
      </c>
      <c r="M716" s="45" cm="1">
        <f t="array" ref="M716">IF(T716&lt;&gt;0, HEX2DEC(Reverse(T716))-$I716,"")</f>
        <v>315</v>
      </c>
      <c r="O716" s="3">
        <v>1020100</v>
      </c>
      <c r="P716" s="3" t="s">
        <v>114</v>
      </c>
      <c r="Q716" s="3" t="s">
        <v>921</v>
      </c>
      <c r="R716" s="3" t="s">
        <v>1687</v>
      </c>
      <c r="S716" s="3">
        <v>0</v>
      </c>
      <c r="T716" s="3" t="s">
        <v>1661</v>
      </c>
      <c r="U716" s="3"/>
      <c r="V716" s="4"/>
    </row>
    <row r="717" spans="1:22" x14ac:dyDescent="0.2">
      <c r="A717" s="20" t="s">
        <v>805</v>
      </c>
      <c r="B717" s="20">
        <v>3957</v>
      </c>
      <c r="C717" s="21" t="s">
        <v>1</v>
      </c>
      <c r="D717" s="21" t="s">
        <v>2</v>
      </c>
      <c r="E717" s="21" t="s">
        <v>90</v>
      </c>
      <c r="F717" s="21" t="s">
        <v>94</v>
      </c>
      <c r="G717" s="21" t="s">
        <v>1778</v>
      </c>
      <c r="H717" s="22" t="str" cm="1">
        <f t="array" ref="H717">Reverse2_6(O717)</f>
        <v>00-010201</v>
      </c>
      <c r="I717" s="45" cm="1">
        <f t="array" ref="I717">HEX2DEC(Reverse(P717))</f>
        <v>93631153</v>
      </c>
      <c r="J717" s="45" cm="1">
        <f t="array" ref="J717">IF(Q717&lt;&gt;0, HEX2DEC(Reverse(Q717))-$I717,"")</f>
        <v>30</v>
      </c>
      <c r="K717" s="45" cm="1">
        <f t="array" ref="K717">IF(R717&lt;&gt;0, HEX2DEC(Reverse(R717))-$I717,"")</f>
        <v>325</v>
      </c>
      <c r="L717" s="45" t="str" cm="1">
        <f t="array" ref="L717">IF(S717&lt;&gt;0, HEX2DEC(Reverse(S717))-$I717,"")</f>
        <v/>
      </c>
      <c r="M717" s="45" cm="1">
        <f t="array" ref="M717">IF(T717&lt;&gt;0, HEX2DEC(Reverse(T717))-$I717,"")</f>
        <v>316</v>
      </c>
      <c r="O717" s="3">
        <v>1020100</v>
      </c>
      <c r="P717" s="3" t="s">
        <v>114</v>
      </c>
      <c r="Q717" s="3" t="s">
        <v>921</v>
      </c>
      <c r="R717" s="3" t="s">
        <v>1690</v>
      </c>
      <c r="S717" s="3">
        <v>0</v>
      </c>
      <c r="T717" s="3" t="s">
        <v>1664</v>
      </c>
      <c r="U717" s="3"/>
      <c r="V717" s="4"/>
    </row>
    <row r="718" spans="1:22" x14ac:dyDescent="0.2">
      <c r="A718" s="20" t="s">
        <v>806</v>
      </c>
      <c r="B718" s="20">
        <v>3958</v>
      </c>
      <c r="C718" s="21" t="s">
        <v>1</v>
      </c>
      <c r="D718" s="21" t="s">
        <v>2</v>
      </c>
      <c r="E718" s="21" t="s">
        <v>90</v>
      </c>
      <c r="F718" s="21" t="s">
        <v>94</v>
      </c>
      <c r="G718" s="21" t="s">
        <v>1778</v>
      </c>
      <c r="H718" s="22" t="str" cm="1">
        <f t="array" ref="H718">Reverse2_6(O718)</f>
        <v>00-010201</v>
      </c>
      <c r="I718" s="45" cm="1">
        <f t="array" ref="I718">HEX2DEC(Reverse(P718))</f>
        <v>93631153</v>
      </c>
      <c r="J718" s="45" cm="1">
        <f t="array" ref="J718">IF(Q718&lt;&gt;0, HEX2DEC(Reverse(Q718))-$I718,"")</f>
        <v>30</v>
      </c>
      <c r="K718" s="45" cm="1">
        <f t="array" ref="K718">IF(R718&lt;&gt;0, HEX2DEC(Reverse(R718))-$I718,"")</f>
        <v>326</v>
      </c>
      <c r="L718" s="45" t="str" cm="1">
        <f t="array" ref="L718">IF(S718&lt;&gt;0, HEX2DEC(Reverse(S718))-$I718,"")</f>
        <v/>
      </c>
      <c r="M718" s="45" cm="1">
        <f t="array" ref="M718">IF(T718&lt;&gt;0, HEX2DEC(Reverse(T718))-$I718,"")</f>
        <v>317</v>
      </c>
      <c r="O718" s="3">
        <v>1020100</v>
      </c>
      <c r="P718" s="3" t="s">
        <v>114</v>
      </c>
      <c r="Q718" s="3" t="s">
        <v>921</v>
      </c>
      <c r="R718" s="3" t="s">
        <v>1693</v>
      </c>
      <c r="S718" s="3">
        <v>0</v>
      </c>
      <c r="T718" s="3" t="s">
        <v>1667</v>
      </c>
      <c r="U718" s="3"/>
      <c r="V718" s="4"/>
    </row>
    <row r="719" spans="1:22" x14ac:dyDescent="0.2">
      <c r="A719" s="16" t="s">
        <v>807</v>
      </c>
      <c r="B719" s="16">
        <v>3959</v>
      </c>
      <c r="C719" s="15" t="s">
        <v>2</v>
      </c>
      <c r="D719" s="15" t="s">
        <v>1</v>
      </c>
      <c r="E719" s="15" t="s">
        <v>92</v>
      </c>
      <c r="F719" s="15" t="s">
        <v>96</v>
      </c>
      <c r="G719" s="15"/>
      <c r="H719" s="17" t="str" cm="1">
        <f t="array" ref="H719">Reverse2_6(O719)</f>
        <v>00-010101</v>
      </c>
      <c r="I719" s="18" cm="1">
        <f t="array" ref="I719">HEX2DEC(Reverse(P719))</f>
        <v>93631153</v>
      </c>
      <c r="J719" s="18" cm="1">
        <f t="array" ref="J719">IF(Q719&lt;&gt;0, HEX2DEC(Reverse(Q719))-$I719,"")</f>
        <v>327</v>
      </c>
      <c r="K719" s="18" cm="1">
        <f t="array" ref="K719">IF(R719&lt;&gt;0, HEX2DEC(Reverse(R719))-$I719,"")</f>
        <v>30</v>
      </c>
      <c r="L719" s="18" cm="1">
        <f t="array" ref="L719">IF(S719&lt;&gt;0, HEX2DEC(Reverse(S719))-$I719,"")</f>
        <v>318</v>
      </c>
      <c r="M719" s="18" cm="1">
        <f t="array" ref="M719">IF(T719&lt;&gt;0, HEX2DEC(Reverse(T719))-$I719,"")</f>
        <v>30</v>
      </c>
      <c r="O719" s="3">
        <v>1010100</v>
      </c>
      <c r="P719" s="3" t="s">
        <v>114</v>
      </c>
      <c r="Q719" s="3" t="s">
        <v>1695</v>
      </c>
      <c r="R719" s="12" t="s">
        <v>921</v>
      </c>
      <c r="S719" s="3" t="s">
        <v>1670</v>
      </c>
      <c r="T719" s="12" t="s">
        <v>921</v>
      </c>
      <c r="U719" s="3" t="s">
        <v>1696</v>
      </c>
      <c r="V719" s="4" t="s">
        <v>1697</v>
      </c>
    </row>
    <row r="720" spans="1:22" x14ac:dyDescent="0.2">
      <c r="A720" s="20" t="s">
        <v>808</v>
      </c>
      <c r="B720" s="20">
        <v>3960</v>
      </c>
      <c r="C720" s="21" t="s">
        <v>1</v>
      </c>
      <c r="D720" s="21" t="s">
        <v>2</v>
      </c>
      <c r="E720" s="21" t="s">
        <v>90</v>
      </c>
      <c r="F720" s="21" t="s">
        <v>94</v>
      </c>
      <c r="G720" s="21" t="s">
        <v>1778</v>
      </c>
      <c r="H720" s="22" t="str" cm="1">
        <f t="array" ref="H720">Reverse2_6(O720)</f>
        <v>00-010201</v>
      </c>
      <c r="I720" s="45" cm="1">
        <f t="array" ref="I720">HEX2DEC(Reverse(P720))</f>
        <v>93631153</v>
      </c>
      <c r="J720" s="45" cm="1">
        <f t="array" ref="J720">IF(Q720&lt;&gt;0, HEX2DEC(Reverse(Q720))-$I720,"")</f>
        <v>30</v>
      </c>
      <c r="K720" s="45" cm="1">
        <f t="array" ref="K720">IF(R720&lt;&gt;0, HEX2DEC(Reverse(R720))-$I720,"")</f>
        <v>327</v>
      </c>
      <c r="L720" s="45" t="str" cm="1">
        <f t="array" ref="L720">IF(S720&lt;&gt;0, HEX2DEC(Reverse(S720))-$I720,"")</f>
        <v/>
      </c>
      <c r="M720" s="45" cm="1">
        <f t="array" ref="M720">IF(T720&lt;&gt;0, HEX2DEC(Reverse(T720))-$I720,"")</f>
        <v>318</v>
      </c>
      <c r="O720" s="3">
        <v>1020100</v>
      </c>
      <c r="P720" s="3" t="s">
        <v>114</v>
      </c>
      <c r="Q720" s="3" t="s">
        <v>921</v>
      </c>
      <c r="R720" s="3" t="s">
        <v>1695</v>
      </c>
      <c r="S720" s="3">
        <v>0</v>
      </c>
      <c r="T720" s="3" t="s">
        <v>1670</v>
      </c>
      <c r="U720" s="3"/>
      <c r="V720" s="4"/>
    </row>
    <row r="721" spans="1:22" x14ac:dyDescent="0.2">
      <c r="A721" s="16" t="s">
        <v>809</v>
      </c>
      <c r="B721" s="16">
        <v>3961</v>
      </c>
      <c r="C721" s="15" t="s">
        <v>2</v>
      </c>
      <c r="D721" s="15" t="s">
        <v>1</v>
      </c>
      <c r="E721" s="15" t="s">
        <v>92</v>
      </c>
      <c r="F721" s="15" t="s">
        <v>96</v>
      </c>
      <c r="G721" s="15"/>
      <c r="H721" s="17" t="str" cm="1">
        <f t="array" ref="H721">Reverse2_6(O721)</f>
        <v>00-010101</v>
      </c>
      <c r="I721" s="18" cm="1">
        <f t="array" ref="I721">HEX2DEC(Reverse(P721))</f>
        <v>93631153</v>
      </c>
      <c r="J721" s="18" cm="1">
        <f t="array" ref="J721">IF(Q721&lt;&gt;0, HEX2DEC(Reverse(Q721))-$I721,"")</f>
        <v>328</v>
      </c>
      <c r="K721" s="18" cm="1">
        <f t="array" ref="K721">IF(R721&lt;&gt;0, HEX2DEC(Reverse(R721))-$I721,"")</f>
        <v>30</v>
      </c>
      <c r="L721" s="18" cm="1">
        <f t="array" ref="L721">IF(S721&lt;&gt;0, HEX2DEC(Reverse(S721))-$I721,"")</f>
        <v>319</v>
      </c>
      <c r="M721" s="18" cm="1">
        <f t="array" ref="M721">IF(T721&lt;&gt;0, HEX2DEC(Reverse(T721))-$I721,"")</f>
        <v>30</v>
      </c>
      <c r="O721" s="3">
        <v>1010100</v>
      </c>
      <c r="P721" s="3" t="s">
        <v>114</v>
      </c>
      <c r="Q721" s="3" t="s">
        <v>1698</v>
      </c>
      <c r="R721" s="12" t="s">
        <v>921</v>
      </c>
      <c r="S721" s="3" t="s">
        <v>1673</v>
      </c>
      <c r="T721" s="12" t="s">
        <v>921</v>
      </c>
      <c r="U721" s="3" t="s">
        <v>1699</v>
      </c>
      <c r="V721" s="4" t="s">
        <v>1700</v>
      </c>
    </row>
    <row r="722" spans="1:22" x14ac:dyDescent="0.2">
      <c r="A722" s="16" t="s">
        <v>810</v>
      </c>
      <c r="B722" s="16">
        <v>3962</v>
      </c>
      <c r="C722" s="15" t="s">
        <v>2</v>
      </c>
      <c r="D722" s="15" t="s">
        <v>1</v>
      </c>
      <c r="E722" s="15" t="s">
        <v>92</v>
      </c>
      <c r="F722" s="15" t="s">
        <v>96</v>
      </c>
      <c r="G722" s="15"/>
      <c r="H722" s="17" t="str" cm="1">
        <f t="array" ref="H722">Reverse2_6(O722)</f>
        <v>00-010101</v>
      </c>
      <c r="I722" s="18" cm="1">
        <f t="array" ref="I722">HEX2DEC(Reverse(P722))</f>
        <v>93631153</v>
      </c>
      <c r="J722" s="18" cm="1">
        <f t="array" ref="J722">IF(Q722&lt;&gt;0, HEX2DEC(Reverse(Q722))-$I722,"")</f>
        <v>329</v>
      </c>
      <c r="K722" s="18" cm="1">
        <f t="array" ref="K722">IF(R722&lt;&gt;0, HEX2DEC(Reverse(R722))-$I722,"")</f>
        <v>30</v>
      </c>
      <c r="L722" s="18" cm="1">
        <f t="array" ref="L722">IF(S722&lt;&gt;0, HEX2DEC(Reverse(S722))-$I722,"")</f>
        <v>320</v>
      </c>
      <c r="M722" s="18" cm="1">
        <f t="array" ref="M722">IF(T722&lt;&gt;0, HEX2DEC(Reverse(T722))-$I722,"")</f>
        <v>30</v>
      </c>
      <c r="O722" s="3">
        <v>1010100</v>
      </c>
      <c r="P722" s="3" t="s">
        <v>114</v>
      </c>
      <c r="Q722" s="3" t="s">
        <v>1701</v>
      </c>
      <c r="R722" s="12" t="s">
        <v>921</v>
      </c>
      <c r="S722" s="3" t="s">
        <v>1676</v>
      </c>
      <c r="T722" s="12" t="s">
        <v>921</v>
      </c>
      <c r="U722" s="3" t="s">
        <v>1702</v>
      </c>
      <c r="V722" s="4" t="s">
        <v>1703</v>
      </c>
    </row>
    <row r="723" spans="1:22" x14ac:dyDescent="0.2">
      <c r="A723" s="16" t="s">
        <v>811</v>
      </c>
      <c r="B723" s="16">
        <v>3963</v>
      </c>
      <c r="C723" s="15" t="s">
        <v>2</v>
      </c>
      <c r="D723" s="15" t="s">
        <v>1</v>
      </c>
      <c r="E723" s="15" t="s">
        <v>92</v>
      </c>
      <c r="F723" s="15" t="s">
        <v>96</v>
      </c>
      <c r="G723" s="15"/>
      <c r="H723" s="17" t="str" cm="1">
        <f t="array" ref="H723">Reverse2_6(O723)</f>
        <v>00-010101</v>
      </c>
      <c r="I723" s="18" cm="1">
        <f t="array" ref="I723">HEX2DEC(Reverse(P723))</f>
        <v>93631153</v>
      </c>
      <c r="J723" s="18" cm="1">
        <f t="array" ref="J723">IF(Q723&lt;&gt;0, HEX2DEC(Reverse(Q723))-$I723,"")</f>
        <v>330</v>
      </c>
      <c r="K723" s="18" cm="1">
        <f t="array" ref="K723">IF(R723&lt;&gt;0, HEX2DEC(Reverse(R723))-$I723,"")</f>
        <v>30</v>
      </c>
      <c r="L723" s="18" cm="1">
        <f t="array" ref="L723">IF(S723&lt;&gt;0, HEX2DEC(Reverse(S723))-$I723,"")</f>
        <v>321</v>
      </c>
      <c r="M723" s="18" cm="1">
        <f t="array" ref="M723">IF(T723&lt;&gt;0, HEX2DEC(Reverse(T723))-$I723,"")</f>
        <v>30</v>
      </c>
      <c r="O723" s="3">
        <v>1010100</v>
      </c>
      <c r="P723" s="3" t="s">
        <v>114</v>
      </c>
      <c r="Q723" s="3" t="s">
        <v>1704</v>
      </c>
      <c r="R723" s="12" t="s">
        <v>921</v>
      </c>
      <c r="S723" s="3" t="s">
        <v>1679</v>
      </c>
      <c r="T723" s="12" t="s">
        <v>921</v>
      </c>
      <c r="U723" s="3" t="s">
        <v>1705</v>
      </c>
      <c r="V723" s="4" t="s">
        <v>1706</v>
      </c>
    </row>
    <row r="724" spans="1:22" x14ac:dyDescent="0.2">
      <c r="A724" s="16" t="s">
        <v>812</v>
      </c>
      <c r="B724" s="16">
        <v>3964</v>
      </c>
      <c r="C724" s="15" t="s">
        <v>2</v>
      </c>
      <c r="D724" s="15" t="s">
        <v>1</v>
      </c>
      <c r="E724" s="15" t="s">
        <v>92</v>
      </c>
      <c r="F724" s="15" t="s">
        <v>96</v>
      </c>
      <c r="G724" s="15"/>
      <c r="H724" s="17" t="str" cm="1">
        <f t="array" ref="H724">Reverse2_6(O724)</f>
        <v>00-010101</v>
      </c>
      <c r="I724" s="18" cm="1">
        <f t="array" ref="I724">HEX2DEC(Reverse(P724))</f>
        <v>93631153</v>
      </c>
      <c r="J724" s="18" cm="1">
        <f t="array" ref="J724">IF(Q724&lt;&gt;0, HEX2DEC(Reverse(Q724))-$I724,"")</f>
        <v>331</v>
      </c>
      <c r="K724" s="18" cm="1">
        <f t="array" ref="K724">IF(R724&lt;&gt;0, HEX2DEC(Reverse(R724))-$I724,"")</f>
        <v>30</v>
      </c>
      <c r="L724" s="18" cm="1">
        <f t="array" ref="L724">IF(S724&lt;&gt;0, HEX2DEC(Reverse(S724))-$I724,"")</f>
        <v>322</v>
      </c>
      <c r="M724" s="18" cm="1">
        <f t="array" ref="M724">IF(T724&lt;&gt;0, HEX2DEC(Reverse(T724))-$I724,"")</f>
        <v>30</v>
      </c>
      <c r="O724" s="3">
        <v>1010100</v>
      </c>
      <c r="P724" s="3" t="s">
        <v>114</v>
      </c>
      <c r="Q724" s="3" t="s">
        <v>1707</v>
      </c>
      <c r="R724" s="12" t="s">
        <v>921</v>
      </c>
      <c r="S724" s="3" t="s">
        <v>1682</v>
      </c>
      <c r="T724" s="12" t="s">
        <v>921</v>
      </c>
      <c r="U724" s="3" t="s">
        <v>1708</v>
      </c>
      <c r="V724" s="4" t="s">
        <v>1709</v>
      </c>
    </row>
    <row r="725" spans="1:22" x14ac:dyDescent="0.2">
      <c r="A725" s="16" t="s">
        <v>813</v>
      </c>
      <c r="B725" s="16">
        <v>3965</v>
      </c>
      <c r="C725" s="15" t="s">
        <v>2</v>
      </c>
      <c r="D725" s="15" t="s">
        <v>1</v>
      </c>
      <c r="E725" s="15" t="s">
        <v>92</v>
      </c>
      <c r="F725" s="15" t="s">
        <v>96</v>
      </c>
      <c r="G725" s="15"/>
      <c r="H725" s="17" t="str" cm="1">
        <f t="array" ref="H725">Reverse2_6(O725)</f>
        <v>00-010101</v>
      </c>
      <c r="I725" s="18" cm="1">
        <f t="array" ref="I725">HEX2DEC(Reverse(P725))</f>
        <v>93631153</v>
      </c>
      <c r="J725" s="18" cm="1">
        <f t="array" ref="J725">IF(Q725&lt;&gt;0, HEX2DEC(Reverse(Q725))-$I725,"")</f>
        <v>332</v>
      </c>
      <c r="K725" s="18" cm="1">
        <f t="array" ref="K725">IF(R725&lt;&gt;0, HEX2DEC(Reverse(R725))-$I725,"")</f>
        <v>30</v>
      </c>
      <c r="L725" s="18" cm="1">
        <f t="array" ref="L725">IF(S725&lt;&gt;0, HEX2DEC(Reverse(S725))-$I725,"")</f>
        <v>323</v>
      </c>
      <c r="M725" s="18" cm="1">
        <f t="array" ref="M725">IF(T725&lt;&gt;0, HEX2DEC(Reverse(T725))-$I725,"")</f>
        <v>30</v>
      </c>
      <c r="O725" s="3">
        <v>1010100</v>
      </c>
      <c r="P725" s="3" t="s">
        <v>114</v>
      </c>
      <c r="Q725" s="3" t="s">
        <v>1710</v>
      </c>
      <c r="R725" s="12" t="s">
        <v>921</v>
      </c>
      <c r="S725" s="3" t="s">
        <v>1685</v>
      </c>
      <c r="T725" s="12" t="s">
        <v>921</v>
      </c>
      <c r="U725" s="3" t="s">
        <v>1711</v>
      </c>
      <c r="V725" s="4" t="s">
        <v>1712</v>
      </c>
    </row>
    <row r="726" spans="1:22" x14ac:dyDescent="0.2">
      <c r="A726" s="20" t="s">
        <v>814</v>
      </c>
      <c r="B726" s="20">
        <v>3966</v>
      </c>
      <c r="C726" s="21" t="s">
        <v>1</v>
      </c>
      <c r="D726" s="21" t="s">
        <v>2</v>
      </c>
      <c r="E726" s="21" t="s">
        <v>90</v>
      </c>
      <c r="F726" s="21" t="s">
        <v>94</v>
      </c>
      <c r="G726" s="21" t="s">
        <v>1778</v>
      </c>
      <c r="H726" s="22" t="str" cm="1">
        <f t="array" ref="H726">Reverse2_6(O726)</f>
        <v>00-010201</v>
      </c>
      <c r="I726" s="45" cm="1">
        <f t="array" ref="I726">HEX2DEC(Reverse(P726))</f>
        <v>93631153</v>
      </c>
      <c r="J726" s="45" cm="1">
        <f t="array" ref="J726">IF(Q726&lt;&gt;0, HEX2DEC(Reverse(Q726))-$I726,"")</f>
        <v>30</v>
      </c>
      <c r="K726" s="45" cm="1">
        <f t="array" ref="K726">IF(R726&lt;&gt;0, HEX2DEC(Reverse(R726))-$I726,"")</f>
        <v>328</v>
      </c>
      <c r="L726" s="45" t="str" cm="1">
        <f t="array" ref="L726">IF(S726&lt;&gt;0, HEX2DEC(Reverse(S726))-$I726,"")</f>
        <v/>
      </c>
      <c r="M726" s="45" cm="1">
        <f t="array" ref="M726">IF(T726&lt;&gt;0, HEX2DEC(Reverse(T726))-$I726,"")</f>
        <v>319</v>
      </c>
      <c r="O726" s="3">
        <v>1020100</v>
      </c>
      <c r="P726" s="3" t="s">
        <v>114</v>
      </c>
      <c r="Q726" s="3" t="s">
        <v>921</v>
      </c>
      <c r="R726" s="3" t="s">
        <v>1698</v>
      </c>
      <c r="S726" s="3">
        <v>0</v>
      </c>
      <c r="T726" s="3" t="s">
        <v>1673</v>
      </c>
      <c r="U726" s="3"/>
      <c r="V726" s="4"/>
    </row>
    <row r="727" spans="1:22" x14ac:dyDescent="0.2">
      <c r="A727" s="20" t="s">
        <v>815</v>
      </c>
      <c r="B727" s="20">
        <v>3967</v>
      </c>
      <c r="C727" s="21" t="s">
        <v>1</v>
      </c>
      <c r="D727" s="21" t="s">
        <v>2</v>
      </c>
      <c r="E727" s="21" t="s">
        <v>90</v>
      </c>
      <c r="F727" s="21" t="s">
        <v>94</v>
      </c>
      <c r="G727" s="21" t="s">
        <v>1778</v>
      </c>
      <c r="H727" s="22" t="str" cm="1">
        <f t="array" ref="H727">Reverse2_6(O727)</f>
        <v>00-010201</v>
      </c>
      <c r="I727" s="45" cm="1">
        <f t="array" ref="I727">HEX2DEC(Reverse(P727))</f>
        <v>93631153</v>
      </c>
      <c r="J727" s="45" cm="1">
        <f t="array" ref="J727">IF(Q727&lt;&gt;0, HEX2DEC(Reverse(Q727))-$I727,"")</f>
        <v>30</v>
      </c>
      <c r="K727" s="45" cm="1">
        <f t="array" ref="K727">IF(R727&lt;&gt;0, HEX2DEC(Reverse(R727))-$I727,"")</f>
        <v>329</v>
      </c>
      <c r="L727" s="45" t="str" cm="1">
        <f t="array" ref="L727">IF(S727&lt;&gt;0, HEX2DEC(Reverse(S727))-$I727,"")</f>
        <v/>
      </c>
      <c r="M727" s="45" cm="1">
        <f t="array" ref="M727">IF(T727&lt;&gt;0, HEX2DEC(Reverse(T727))-$I727,"")</f>
        <v>320</v>
      </c>
      <c r="O727" s="3">
        <v>1020100</v>
      </c>
      <c r="P727" s="3" t="s">
        <v>114</v>
      </c>
      <c r="Q727" s="3" t="s">
        <v>921</v>
      </c>
      <c r="R727" s="3" t="s">
        <v>1701</v>
      </c>
      <c r="S727" s="3">
        <v>0</v>
      </c>
      <c r="T727" s="3" t="s">
        <v>1676</v>
      </c>
      <c r="U727" s="3"/>
      <c r="V727" s="4"/>
    </row>
    <row r="728" spans="1:22" x14ac:dyDescent="0.2">
      <c r="A728" s="20" t="s">
        <v>816</v>
      </c>
      <c r="B728" s="20">
        <v>3968</v>
      </c>
      <c r="C728" s="21" t="s">
        <v>1</v>
      </c>
      <c r="D728" s="21" t="s">
        <v>2</v>
      </c>
      <c r="E728" s="21" t="s">
        <v>90</v>
      </c>
      <c r="F728" s="21" t="s">
        <v>94</v>
      </c>
      <c r="G728" s="21" t="s">
        <v>1778</v>
      </c>
      <c r="H728" s="22" t="str" cm="1">
        <f t="array" ref="H728">Reverse2_6(O728)</f>
        <v>00-010201</v>
      </c>
      <c r="I728" s="45" cm="1">
        <f t="array" ref="I728">HEX2DEC(Reverse(P728))</f>
        <v>93631153</v>
      </c>
      <c r="J728" s="45" cm="1">
        <f t="array" ref="J728">IF(Q728&lt;&gt;0, HEX2DEC(Reverse(Q728))-$I728,"")</f>
        <v>30</v>
      </c>
      <c r="K728" s="45" cm="1">
        <f t="array" ref="K728">IF(R728&lt;&gt;0, HEX2DEC(Reverse(R728))-$I728,"")</f>
        <v>330</v>
      </c>
      <c r="L728" s="45" t="str" cm="1">
        <f t="array" ref="L728">IF(S728&lt;&gt;0, HEX2DEC(Reverse(S728))-$I728,"")</f>
        <v/>
      </c>
      <c r="M728" s="45" cm="1">
        <f t="array" ref="M728">IF(T728&lt;&gt;0, HEX2DEC(Reverse(T728))-$I728,"")</f>
        <v>321</v>
      </c>
      <c r="O728" s="3">
        <v>1020100</v>
      </c>
      <c r="P728" s="3" t="s">
        <v>114</v>
      </c>
      <c r="Q728" s="3" t="s">
        <v>921</v>
      </c>
      <c r="R728" s="3" t="s">
        <v>1704</v>
      </c>
      <c r="S728" s="3">
        <v>0</v>
      </c>
      <c r="T728" s="3" t="s">
        <v>1679</v>
      </c>
      <c r="U728" s="3"/>
      <c r="V728" s="4"/>
    </row>
    <row r="729" spans="1:22" x14ac:dyDescent="0.2">
      <c r="A729" s="20" t="s">
        <v>817</v>
      </c>
      <c r="B729" s="20">
        <v>3969</v>
      </c>
      <c r="C729" s="21" t="s">
        <v>1</v>
      </c>
      <c r="D729" s="21" t="s">
        <v>2</v>
      </c>
      <c r="E729" s="21" t="s">
        <v>90</v>
      </c>
      <c r="F729" s="21" t="s">
        <v>94</v>
      </c>
      <c r="G729" s="21" t="s">
        <v>1778</v>
      </c>
      <c r="H729" s="22" t="str" cm="1">
        <f t="array" ref="H729">Reverse2_6(O729)</f>
        <v>00-010201</v>
      </c>
      <c r="I729" s="45" cm="1">
        <f t="array" ref="I729">HEX2DEC(Reverse(P729))</f>
        <v>93631153</v>
      </c>
      <c r="J729" s="45" cm="1">
        <f t="array" ref="J729">IF(Q729&lt;&gt;0, HEX2DEC(Reverse(Q729))-$I729,"")</f>
        <v>30</v>
      </c>
      <c r="K729" s="45" cm="1">
        <f t="array" ref="K729">IF(R729&lt;&gt;0, HEX2DEC(Reverse(R729))-$I729,"")</f>
        <v>331</v>
      </c>
      <c r="L729" s="45" t="str" cm="1">
        <f t="array" ref="L729">IF(S729&lt;&gt;0, HEX2DEC(Reverse(S729))-$I729,"")</f>
        <v/>
      </c>
      <c r="M729" s="45" cm="1">
        <f t="array" ref="M729">IF(T729&lt;&gt;0, HEX2DEC(Reverse(T729))-$I729,"")</f>
        <v>322</v>
      </c>
      <c r="O729" s="3">
        <v>1020100</v>
      </c>
      <c r="P729" s="3" t="s">
        <v>114</v>
      </c>
      <c r="Q729" s="3" t="s">
        <v>921</v>
      </c>
      <c r="R729" s="3" t="s">
        <v>1707</v>
      </c>
      <c r="S729" s="3">
        <v>0</v>
      </c>
      <c r="T729" s="3" t="s">
        <v>1682</v>
      </c>
      <c r="U729" s="3"/>
      <c r="V729" s="4"/>
    </row>
    <row r="730" spans="1:22" x14ac:dyDescent="0.2">
      <c r="A730" s="20" t="s">
        <v>818</v>
      </c>
      <c r="B730" s="20">
        <v>3970</v>
      </c>
      <c r="C730" s="21" t="s">
        <v>1</v>
      </c>
      <c r="D730" s="21" t="s">
        <v>2</v>
      </c>
      <c r="E730" s="21" t="s">
        <v>90</v>
      </c>
      <c r="F730" s="21" t="s">
        <v>94</v>
      </c>
      <c r="G730" s="21" t="s">
        <v>1778</v>
      </c>
      <c r="H730" s="22" t="str" cm="1">
        <f t="array" ref="H730">Reverse2_6(O730)</f>
        <v>00-010201</v>
      </c>
      <c r="I730" s="45" cm="1">
        <f t="array" ref="I730">HEX2DEC(Reverse(P730))</f>
        <v>93631153</v>
      </c>
      <c r="J730" s="45" cm="1">
        <f t="array" ref="J730">IF(Q730&lt;&gt;0, HEX2DEC(Reverse(Q730))-$I730,"")</f>
        <v>30</v>
      </c>
      <c r="K730" s="45" cm="1">
        <f t="array" ref="K730">IF(R730&lt;&gt;0, HEX2DEC(Reverse(R730))-$I730,"")</f>
        <v>332</v>
      </c>
      <c r="L730" s="45" t="str" cm="1">
        <f t="array" ref="L730">IF(S730&lt;&gt;0, HEX2DEC(Reverse(S730))-$I730,"")</f>
        <v/>
      </c>
      <c r="M730" s="45" cm="1">
        <f t="array" ref="M730">IF(T730&lt;&gt;0, HEX2DEC(Reverse(T730))-$I730,"")</f>
        <v>323</v>
      </c>
      <c r="O730" s="3">
        <v>1020100</v>
      </c>
      <c r="P730" s="3" t="s">
        <v>114</v>
      </c>
      <c r="Q730" s="3" t="s">
        <v>921</v>
      </c>
      <c r="R730" s="3" t="s">
        <v>1710</v>
      </c>
      <c r="S730" s="3">
        <v>0</v>
      </c>
      <c r="T730" s="3" t="s">
        <v>1685</v>
      </c>
      <c r="U730" s="3"/>
      <c r="V730" s="4"/>
    </row>
    <row r="731" spans="1:22" x14ac:dyDescent="0.2">
      <c r="A731" s="16" t="s">
        <v>819</v>
      </c>
      <c r="B731" s="16">
        <v>3971</v>
      </c>
      <c r="C731" s="15" t="s">
        <v>2</v>
      </c>
      <c r="D731" s="15" t="s">
        <v>1</v>
      </c>
      <c r="E731" s="15" t="s">
        <v>92</v>
      </c>
      <c r="F731" s="15" t="s">
        <v>96</v>
      </c>
      <c r="G731" s="15"/>
      <c r="H731" s="17" t="str" cm="1">
        <f t="array" ref="H731">Reverse2_6(O731)</f>
        <v>00-010101</v>
      </c>
      <c r="I731" s="18" cm="1">
        <f t="array" ref="I731">HEX2DEC(Reverse(P731))</f>
        <v>93631153</v>
      </c>
      <c r="J731" s="18" cm="1">
        <f t="array" ref="J731">IF(Q731&lt;&gt;0, HEX2DEC(Reverse(Q731))-$I731,"")</f>
        <v>333</v>
      </c>
      <c r="K731" s="18" cm="1">
        <f t="array" ref="K731">IF(R731&lt;&gt;0, HEX2DEC(Reverse(R731))-$I731,"")</f>
        <v>30</v>
      </c>
      <c r="L731" s="18" cm="1">
        <f t="array" ref="L731">IF(S731&lt;&gt;0, HEX2DEC(Reverse(S731))-$I731,"")</f>
        <v>324</v>
      </c>
      <c r="M731" s="18" cm="1">
        <f t="array" ref="M731">IF(T731&lt;&gt;0, HEX2DEC(Reverse(T731))-$I731,"")</f>
        <v>30</v>
      </c>
      <c r="O731" s="3">
        <v>1010100</v>
      </c>
      <c r="P731" s="3" t="s">
        <v>114</v>
      </c>
      <c r="Q731" s="3" t="s">
        <v>1713</v>
      </c>
      <c r="R731" s="12" t="s">
        <v>921</v>
      </c>
      <c r="S731" s="3" t="s">
        <v>1687</v>
      </c>
      <c r="T731" s="12" t="s">
        <v>921</v>
      </c>
      <c r="U731" s="3" t="s">
        <v>1714</v>
      </c>
      <c r="V731" s="4" t="s">
        <v>1715</v>
      </c>
    </row>
    <row r="732" spans="1:22" x14ac:dyDescent="0.2">
      <c r="A732" s="20" t="s">
        <v>820</v>
      </c>
      <c r="B732" s="20">
        <v>3972</v>
      </c>
      <c r="C732" s="21" t="s">
        <v>1</v>
      </c>
      <c r="D732" s="21" t="s">
        <v>2</v>
      </c>
      <c r="E732" s="21" t="s">
        <v>90</v>
      </c>
      <c r="F732" s="21" t="s">
        <v>94</v>
      </c>
      <c r="G732" s="21" t="s">
        <v>1778</v>
      </c>
      <c r="H732" s="22" t="str" cm="1">
        <f t="array" ref="H732">Reverse2_6(O732)</f>
        <v>00-010201</v>
      </c>
      <c r="I732" s="45" cm="1">
        <f t="array" ref="I732">HEX2DEC(Reverse(P732))</f>
        <v>93631153</v>
      </c>
      <c r="J732" s="45" cm="1">
        <f t="array" ref="J732">IF(Q732&lt;&gt;0, HEX2DEC(Reverse(Q732))-$I732,"")</f>
        <v>30</v>
      </c>
      <c r="K732" s="45" cm="1">
        <f t="array" ref="K732">IF(R732&lt;&gt;0, HEX2DEC(Reverse(R732))-$I732,"")</f>
        <v>333</v>
      </c>
      <c r="L732" s="45" t="str" cm="1">
        <f t="array" ref="L732">IF(S732&lt;&gt;0, HEX2DEC(Reverse(S732))-$I732,"")</f>
        <v/>
      </c>
      <c r="M732" s="45" cm="1">
        <f t="array" ref="M732">IF(T732&lt;&gt;0, HEX2DEC(Reverse(T732))-$I732,"")</f>
        <v>324</v>
      </c>
      <c r="O732" s="3">
        <v>1020100</v>
      </c>
      <c r="P732" s="3" t="s">
        <v>114</v>
      </c>
      <c r="Q732" s="3" t="s">
        <v>921</v>
      </c>
      <c r="R732" s="3" t="s">
        <v>1713</v>
      </c>
      <c r="S732" s="3">
        <v>0</v>
      </c>
      <c r="T732" s="3" t="s">
        <v>1687</v>
      </c>
      <c r="U732" s="3"/>
      <c r="V732" s="4"/>
    </row>
    <row r="733" spans="1:22" x14ac:dyDescent="0.2">
      <c r="A733" s="16" t="s">
        <v>821</v>
      </c>
      <c r="B733" s="16">
        <v>3974</v>
      </c>
      <c r="C733" s="15" t="s">
        <v>2</v>
      </c>
      <c r="D733" s="15" t="s">
        <v>1</v>
      </c>
      <c r="E733" s="15" t="s">
        <v>92</v>
      </c>
      <c r="F733" s="15" t="s">
        <v>96</v>
      </c>
      <c r="G733" s="15"/>
      <c r="H733" s="17" t="str" cm="1">
        <f t="array" ref="H733">Reverse2_6(O733)</f>
        <v>00-010101</v>
      </c>
      <c r="I733" s="18" cm="1">
        <f t="array" ref="I733">HEX2DEC(Reverse(P733))</f>
        <v>93631153</v>
      </c>
      <c r="J733" s="18" cm="1">
        <f t="array" ref="J733">IF(Q733&lt;&gt;0, HEX2DEC(Reverse(Q733))-$I733,"")</f>
        <v>334</v>
      </c>
      <c r="K733" s="18" cm="1">
        <f t="array" ref="K733">IF(R733&lt;&gt;0, HEX2DEC(Reverse(R733))-$I733,"")</f>
        <v>30</v>
      </c>
      <c r="L733" s="18" cm="1">
        <f t="array" ref="L733">IF(S733&lt;&gt;0, HEX2DEC(Reverse(S733))-$I733,"")</f>
        <v>325</v>
      </c>
      <c r="M733" s="18" cm="1">
        <f t="array" ref="M733">IF(T733&lt;&gt;0, HEX2DEC(Reverse(T733))-$I733,"")</f>
        <v>30</v>
      </c>
      <c r="O733" s="3">
        <v>1010100</v>
      </c>
      <c r="P733" s="3" t="s">
        <v>114</v>
      </c>
      <c r="Q733" s="3" t="s">
        <v>1716</v>
      </c>
      <c r="R733" s="12" t="s">
        <v>921</v>
      </c>
      <c r="S733" s="3" t="s">
        <v>1690</v>
      </c>
      <c r="T733" s="12" t="s">
        <v>921</v>
      </c>
      <c r="U733" s="3" t="s">
        <v>1717</v>
      </c>
      <c r="V733" s="4" t="s">
        <v>1718</v>
      </c>
    </row>
    <row r="734" spans="1:22" x14ac:dyDescent="0.2">
      <c r="A734" s="16" t="s">
        <v>822</v>
      </c>
      <c r="B734" s="16">
        <v>3975</v>
      </c>
      <c r="C734" s="15" t="s">
        <v>2</v>
      </c>
      <c r="D734" s="15" t="s">
        <v>1</v>
      </c>
      <c r="E734" s="15" t="s">
        <v>92</v>
      </c>
      <c r="F734" s="15" t="s">
        <v>96</v>
      </c>
      <c r="G734" s="15"/>
      <c r="H734" s="17" t="str" cm="1">
        <f t="array" ref="H734">Reverse2_6(O734)</f>
        <v>00-010101</v>
      </c>
      <c r="I734" s="18" cm="1">
        <f t="array" ref="I734">HEX2DEC(Reverse(P734))</f>
        <v>93631153</v>
      </c>
      <c r="J734" s="18" cm="1">
        <f t="array" ref="J734">IF(Q734&lt;&gt;0, HEX2DEC(Reverse(Q734))-$I734,"")</f>
        <v>335</v>
      </c>
      <c r="K734" s="18" cm="1">
        <f t="array" ref="K734">IF(R734&lt;&gt;0, HEX2DEC(Reverse(R734))-$I734,"")</f>
        <v>30</v>
      </c>
      <c r="L734" s="18" cm="1">
        <f t="array" ref="L734">IF(S734&lt;&gt;0, HEX2DEC(Reverse(S734))-$I734,"")</f>
        <v>326</v>
      </c>
      <c r="M734" s="18" cm="1">
        <f t="array" ref="M734">IF(T734&lt;&gt;0, HEX2DEC(Reverse(T734))-$I734,"")</f>
        <v>30</v>
      </c>
      <c r="O734" s="3">
        <v>1010100</v>
      </c>
      <c r="P734" s="3" t="s">
        <v>114</v>
      </c>
      <c r="Q734" s="3" t="s">
        <v>1719</v>
      </c>
      <c r="R734" s="12" t="s">
        <v>921</v>
      </c>
      <c r="S734" s="3" t="s">
        <v>1693</v>
      </c>
      <c r="T734" s="12" t="s">
        <v>921</v>
      </c>
      <c r="U734" s="3" t="s">
        <v>1720</v>
      </c>
      <c r="V734" s="4" t="s">
        <v>1721</v>
      </c>
    </row>
    <row r="735" spans="1:22" x14ac:dyDescent="0.2">
      <c r="A735" s="16" t="s">
        <v>823</v>
      </c>
      <c r="B735" s="16">
        <v>3976</v>
      </c>
      <c r="C735" s="15" t="s">
        <v>2</v>
      </c>
      <c r="D735" s="15" t="s">
        <v>1</v>
      </c>
      <c r="E735" s="15" t="s">
        <v>92</v>
      </c>
      <c r="F735" s="15" t="s">
        <v>96</v>
      </c>
      <c r="G735" s="15"/>
      <c r="H735" s="17" t="str" cm="1">
        <f t="array" ref="H735">Reverse2_6(O735)</f>
        <v>00-010101</v>
      </c>
      <c r="I735" s="18" cm="1">
        <f t="array" ref="I735">HEX2DEC(Reverse(P735))</f>
        <v>93631153</v>
      </c>
      <c r="J735" s="18" cm="1">
        <f t="array" ref="J735">IF(Q735&lt;&gt;0, HEX2DEC(Reverse(Q735))-$I735,"")</f>
        <v>336</v>
      </c>
      <c r="K735" s="18" cm="1">
        <f t="array" ref="K735">IF(R735&lt;&gt;0, HEX2DEC(Reverse(R735))-$I735,"")</f>
        <v>30</v>
      </c>
      <c r="L735" s="18" cm="1">
        <f t="array" ref="L735">IF(S735&lt;&gt;0, HEX2DEC(Reverse(S735))-$I735,"")</f>
        <v>327</v>
      </c>
      <c r="M735" s="18" cm="1">
        <f t="array" ref="M735">IF(T735&lt;&gt;0, HEX2DEC(Reverse(T735))-$I735,"")</f>
        <v>30</v>
      </c>
      <c r="O735" s="3">
        <v>1010100</v>
      </c>
      <c r="P735" s="3" t="s">
        <v>114</v>
      </c>
      <c r="Q735" s="3" t="s">
        <v>1722</v>
      </c>
      <c r="R735" s="12" t="s">
        <v>921</v>
      </c>
      <c r="S735" s="3" t="s">
        <v>1695</v>
      </c>
      <c r="T735" s="12" t="s">
        <v>921</v>
      </c>
      <c r="U735" s="3" t="s">
        <v>1723</v>
      </c>
      <c r="V735" s="4" t="s">
        <v>1724</v>
      </c>
    </row>
    <row r="736" spans="1:22" x14ac:dyDescent="0.2">
      <c r="A736" s="16" t="s">
        <v>824</v>
      </c>
      <c r="B736" s="16">
        <v>3977</v>
      </c>
      <c r="C736" s="15" t="s">
        <v>2</v>
      </c>
      <c r="D736" s="15" t="s">
        <v>1</v>
      </c>
      <c r="E736" s="15" t="s">
        <v>92</v>
      </c>
      <c r="F736" s="15" t="s">
        <v>96</v>
      </c>
      <c r="G736" s="15"/>
      <c r="H736" s="17" t="str" cm="1">
        <f t="array" ref="H736">Reverse2_6(O736)</f>
        <v>00-010101</v>
      </c>
      <c r="I736" s="18" cm="1">
        <f t="array" ref="I736">HEX2DEC(Reverse(P736))</f>
        <v>93631153</v>
      </c>
      <c r="J736" s="18" cm="1">
        <f t="array" ref="J736">IF(Q736&lt;&gt;0, HEX2DEC(Reverse(Q736))-$I736,"")</f>
        <v>337</v>
      </c>
      <c r="K736" s="18" cm="1">
        <f t="array" ref="K736">IF(R736&lt;&gt;0, HEX2DEC(Reverse(R736))-$I736,"")</f>
        <v>30</v>
      </c>
      <c r="L736" s="18" cm="1">
        <f t="array" ref="L736">IF(S736&lt;&gt;0, HEX2DEC(Reverse(S736))-$I736,"")</f>
        <v>328</v>
      </c>
      <c r="M736" s="18" cm="1">
        <f t="array" ref="M736">IF(T736&lt;&gt;0, HEX2DEC(Reverse(T736))-$I736,"")</f>
        <v>30</v>
      </c>
      <c r="O736" s="3">
        <v>1010100</v>
      </c>
      <c r="P736" s="3" t="s">
        <v>114</v>
      </c>
      <c r="Q736" s="3" t="s">
        <v>1725</v>
      </c>
      <c r="R736" s="12" t="s">
        <v>921</v>
      </c>
      <c r="S736" s="3" t="s">
        <v>1698</v>
      </c>
      <c r="T736" s="12" t="s">
        <v>921</v>
      </c>
      <c r="U736" s="3" t="s">
        <v>1726</v>
      </c>
      <c r="V736" s="4" t="s">
        <v>1727</v>
      </c>
    </row>
    <row r="737" spans="1:22" x14ac:dyDescent="0.2">
      <c r="A737" s="16" t="s">
        <v>825</v>
      </c>
      <c r="B737" s="16">
        <v>3978</v>
      </c>
      <c r="C737" s="15" t="s">
        <v>2</v>
      </c>
      <c r="D737" s="15" t="s">
        <v>1</v>
      </c>
      <c r="E737" s="15" t="s">
        <v>92</v>
      </c>
      <c r="F737" s="15" t="s">
        <v>96</v>
      </c>
      <c r="G737" s="15"/>
      <c r="H737" s="17" t="str" cm="1">
        <f t="array" ref="H737">Reverse2_6(O737)</f>
        <v>00-010101</v>
      </c>
      <c r="I737" s="18" cm="1">
        <f t="array" ref="I737">HEX2DEC(Reverse(P737))</f>
        <v>93631153</v>
      </c>
      <c r="J737" s="18" cm="1">
        <f t="array" ref="J737">IF(Q737&lt;&gt;0, HEX2DEC(Reverse(Q737))-$I737,"")</f>
        <v>338</v>
      </c>
      <c r="K737" s="18" cm="1">
        <f t="array" ref="K737">IF(R737&lt;&gt;0, HEX2DEC(Reverse(R737))-$I737,"")</f>
        <v>30</v>
      </c>
      <c r="L737" s="18" cm="1">
        <f t="array" ref="L737">IF(S737&lt;&gt;0, HEX2DEC(Reverse(S737))-$I737,"")</f>
        <v>329</v>
      </c>
      <c r="M737" s="18" cm="1">
        <f t="array" ref="M737">IF(T737&lt;&gt;0, HEX2DEC(Reverse(T737))-$I737,"")</f>
        <v>30</v>
      </c>
      <c r="O737" s="3">
        <v>1010100</v>
      </c>
      <c r="P737" s="3" t="s">
        <v>114</v>
      </c>
      <c r="Q737" s="3" t="s">
        <v>1728</v>
      </c>
      <c r="R737" s="12" t="s">
        <v>921</v>
      </c>
      <c r="S737" s="3" t="s">
        <v>1701</v>
      </c>
      <c r="T737" s="12" t="s">
        <v>921</v>
      </c>
      <c r="U737" s="3" t="s">
        <v>1729</v>
      </c>
      <c r="V737" s="4" t="s">
        <v>1730</v>
      </c>
    </row>
    <row r="738" spans="1:22" x14ac:dyDescent="0.2">
      <c r="A738" s="16" t="s">
        <v>826</v>
      </c>
      <c r="B738" s="16">
        <v>3979</v>
      </c>
      <c r="C738" s="15" t="s">
        <v>2</v>
      </c>
      <c r="D738" s="15" t="s">
        <v>1</v>
      </c>
      <c r="E738" s="15" t="s">
        <v>92</v>
      </c>
      <c r="F738" s="15" t="s">
        <v>96</v>
      </c>
      <c r="G738" s="15"/>
      <c r="H738" s="17" t="str" cm="1">
        <f t="array" ref="H738">Reverse2_6(O738)</f>
        <v>00-010101</v>
      </c>
      <c r="I738" s="18" cm="1">
        <f t="array" ref="I738">HEX2DEC(Reverse(P738))</f>
        <v>93631153</v>
      </c>
      <c r="J738" s="18" cm="1">
        <f t="array" ref="J738">IF(Q738&lt;&gt;0, HEX2DEC(Reverse(Q738))-$I738,"")</f>
        <v>339</v>
      </c>
      <c r="K738" s="18" cm="1">
        <f t="array" ref="K738">IF(R738&lt;&gt;0, HEX2DEC(Reverse(R738))-$I738,"")</f>
        <v>30</v>
      </c>
      <c r="L738" s="18" cm="1">
        <f t="array" ref="L738">IF(S738&lt;&gt;0, HEX2DEC(Reverse(S738))-$I738,"")</f>
        <v>330</v>
      </c>
      <c r="M738" s="18" cm="1">
        <f t="array" ref="M738">IF(T738&lt;&gt;0, HEX2DEC(Reverse(T738))-$I738,"")</f>
        <v>30</v>
      </c>
      <c r="O738" s="3">
        <v>1010100</v>
      </c>
      <c r="P738" s="3" t="s">
        <v>114</v>
      </c>
      <c r="Q738" s="3" t="s">
        <v>1731</v>
      </c>
      <c r="R738" s="12" t="s">
        <v>921</v>
      </c>
      <c r="S738" s="3" t="s">
        <v>1704</v>
      </c>
      <c r="T738" s="12" t="s">
        <v>921</v>
      </c>
      <c r="U738" s="3" t="s">
        <v>1732</v>
      </c>
      <c r="V738" s="4" t="s">
        <v>1733</v>
      </c>
    </row>
    <row r="739" spans="1:22" x14ac:dyDescent="0.2">
      <c r="A739" s="16" t="s">
        <v>827</v>
      </c>
      <c r="B739" s="16">
        <v>3980</v>
      </c>
      <c r="C739" s="15" t="s">
        <v>2</v>
      </c>
      <c r="D739" s="15" t="s">
        <v>1</v>
      </c>
      <c r="E739" s="15" t="s">
        <v>92</v>
      </c>
      <c r="F739" s="15" t="s">
        <v>846</v>
      </c>
      <c r="G739" s="15"/>
      <c r="H739" s="17" t="str" cm="1">
        <f t="array" ref="H739">Reverse2_6(O739)</f>
        <v>00-010101</v>
      </c>
      <c r="I739" s="18" cm="1">
        <f t="array" ref="I739">HEX2DEC(Reverse(P739))</f>
        <v>93631153</v>
      </c>
      <c r="J739" s="18" cm="1">
        <f t="array" ref="J739">IF(Q739&lt;&gt;0, HEX2DEC(Reverse(Q739))-$I739,"")</f>
        <v>340</v>
      </c>
      <c r="K739" s="18" cm="1">
        <f t="array" ref="K739">IF(R739&lt;&gt;0, HEX2DEC(Reverse(R739))-$I739,"")</f>
        <v>30</v>
      </c>
      <c r="L739" s="18" cm="1">
        <f t="array" ref="L739">IF(S739&lt;&gt;0, HEX2DEC(Reverse(S739))-$I739,"")</f>
        <v>331</v>
      </c>
      <c r="M739" s="18" cm="1">
        <f t="array" ref="M739">IF(T739&lt;&gt;0, HEX2DEC(Reverse(T739))-$I739,"")</f>
        <v>30</v>
      </c>
      <c r="O739" s="3">
        <v>1010100</v>
      </c>
      <c r="P739" s="3" t="s">
        <v>114</v>
      </c>
      <c r="Q739" s="3" t="s">
        <v>1734</v>
      </c>
      <c r="R739" s="12" t="s">
        <v>921</v>
      </c>
      <c r="S739" s="3" t="s">
        <v>1707</v>
      </c>
      <c r="T739" s="12" t="s">
        <v>921</v>
      </c>
      <c r="U739" s="3" t="s">
        <v>1735</v>
      </c>
      <c r="V739" s="4" t="s">
        <v>1736</v>
      </c>
    </row>
    <row r="740" spans="1:22" x14ac:dyDescent="0.2">
      <c r="A740" s="16" t="s">
        <v>828</v>
      </c>
      <c r="B740" s="16">
        <v>3981</v>
      </c>
      <c r="C740" s="15" t="s">
        <v>2</v>
      </c>
      <c r="D740" s="15" t="s">
        <v>1</v>
      </c>
      <c r="E740" s="15" t="s">
        <v>92</v>
      </c>
      <c r="F740" s="15" t="s">
        <v>96</v>
      </c>
      <c r="G740" s="15"/>
      <c r="H740" s="17" t="str" cm="1">
        <f t="array" ref="H740">Reverse2_6(O740)</f>
        <v>00-010101</v>
      </c>
      <c r="I740" s="18" cm="1">
        <f t="array" ref="I740">HEX2DEC(Reverse(P740))</f>
        <v>93631153</v>
      </c>
      <c r="J740" s="18" cm="1">
        <f t="array" ref="J740">IF(Q740&lt;&gt;0, HEX2DEC(Reverse(Q740))-$I740,"")</f>
        <v>341</v>
      </c>
      <c r="K740" s="18" cm="1">
        <f t="array" ref="K740">IF(R740&lt;&gt;0, HEX2DEC(Reverse(R740))-$I740,"")</f>
        <v>30</v>
      </c>
      <c r="L740" s="18" cm="1">
        <f t="array" ref="L740">IF(S740&lt;&gt;0, HEX2DEC(Reverse(S740))-$I740,"")</f>
        <v>332</v>
      </c>
      <c r="M740" s="18" cm="1">
        <f t="array" ref="M740">IF(T740&lt;&gt;0, HEX2DEC(Reverse(T740))-$I740,"")</f>
        <v>30</v>
      </c>
      <c r="O740" s="3">
        <v>1010100</v>
      </c>
      <c r="P740" s="3" t="s">
        <v>114</v>
      </c>
      <c r="Q740" s="3" t="s">
        <v>1737</v>
      </c>
      <c r="R740" s="12" t="s">
        <v>921</v>
      </c>
      <c r="S740" s="3" t="s">
        <v>1710</v>
      </c>
      <c r="T740" s="12" t="s">
        <v>921</v>
      </c>
      <c r="U740" s="3">
        <v>31313131</v>
      </c>
      <c r="V740" s="4" t="s">
        <v>1582</v>
      </c>
    </row>
    <row r="741" spans="1:22" x14ac:dyDescent="0.2">
      <c r="A741" s="20" t="s">
        <v>829</v>
      </c>
      <c r="B741" s="20">
        <v>3982</v>
      </c>
      <c r="C741" s="21" t="s">
        <v>1</v>
      </c>
      <c r="D741" s="21" t="s">
        <v>2</v>
      </c>
      <c r="E741" s="21" t="s">
        <v>90</v>
      </c>
      <c r="F741" s="21" t="s">
        <v>94</v>
      </c>
      <c r="G741" s="21" t="s">
        <v>1778</v>
      </c>
      <c r="H741" s="22" t="str" cm="1">
        <f t="array" ref="H741">Reverse2_6(O741)</f>
        <v>00-010201</v>
      </c>
      <c r="I741" s="45" cm="1">
        <f t="array" ref="I741">HEX2DEC(Reverse(P741))</f>
        <v>93631153</v>
      </c>
      <c r="J741" s="45" cm="1">
        <f t="array" ref="J741">IF(Q741&lt;&gt;0, HEX2DEC(Reverse(Q741))-$I741,"")</f>
        <v>30</v>
      </c>
      <c r="K741" s="45" cm="1">
        <f t="array" ref="K741">IF(R741&lt;&gt;0, HEX2DEC(Reverse(R741))-$I741,"")</f>
        <v>334</v>
      </c>
      <c r="L741" s="45" t="str" cm="1">
        <f t="array" ref="L741">IF(S741&lt;&gt;0, HEX2DEC(Reverse(S741))-$I741,"")</f>
        <v/>
      </c>
      <c r="M741" s="45" cm="1">
        <f t="array" ref="M741">IF(T741&lt;&gt;0, HEX2DEC(Reverse(T741))-$I741,"")</f>
        <v>325</v>
      </c>
      <c r="O741" s="3">
        <v>1020100</v>
      </c>
      <c r="P741" s="3" t="s">
        <v>114</v>
      </c>
      <c r="Q741" s="3" t="s">
        <v>921</v>
      </c>
      <c r="R741" s="3" t="s">
        <v>1716</v>
      </c>
      <c r="S741" s="3">
        <v>0</v>
      </c>
      <c r="T741" s="3" t="s">
        <v>1690</v>
      </c>
      <c r="U741" s="3"/>
      <c r="V741" s="4"/>
    </row>
    <row r="742" spans="1:22" x14ac:dyDescent="0.2">
      <c r="A742" s="20" t="s">
        <v>830</v>
      </c>
      <c r="B742" s="20">
        <v>3984</v>
      </c>
      <c r="C742" s="21" t="s">
        <v>1</v>
      </c>
      <c r="D742" s="21" t="s">
        <v>2</v>
      </c>
      <c r="E742" s="21" t="s">
        <v>90</v>
      </c>
      <c r="F742" s="21" t="s">
        <v>94</v>
      </c>
      <c r="G742" s="21" t="s">
        <v>1778</v>
      </c>
      <c r="H742" s="22" t="str" cm="1">
        <f t="array" ref="H742">Reverse2_6(O742)</f>
        <v>00-010201</v>
      </c>
      <c r="I742" s="45" cm="1">
        <f t="array" ref="I742">HEX2DEC(Reverse(P742))</f>
        <v>93631153</v>
      </c>
      <c r="J742" s="45" cm="1">
        <f t="array" ref="J742">IF(Q742&lt;&gt;0, HEX2DEC(Reverse(Q742))-$I742,"")</f>
        <v>30</v>
      </c>
      <c r="K742" s="45" cm="1">
        <f t="array" ref="K742">IF(R742&lt;&gt;0, HEX2DEC(Reverse(R742))-$I742,"")</f>
        <v>335</v>
      </c>
      <c r="L742" s="45" t="str" cm="1">
        <f t="array" ref="L742">IF(S742&lt;&gt;0, HEX2DEC(Reverse(S742))-$I742,"")</f>
        <v/>
      </c>
      <c r="M742" s="45" cm="1">
        <f t="array" ref="M742">IF(T742&lt;&gt;0, HEX2DEC(Reverse(T742))-$I742,"")</f>
        <v>326</v>
      </c>
      <c r="O742" s="3">
        <v>1020100</v>
      </c>
      <c r="P742" s="3" t="s">
        <v>114</v>
      </c>
      <c r="Q742" s="3" t="s">
        <v>921</v>
      </c>
      <c r="R742" s="3" t="s">
        <v>1719</v>
      </c>
      <c r="S742" s="3">
        <v>0</v>
      </c>
      <c r="T742" s="3" t="s">
        <v>1693</v>
      </c>
      <c r="U742" s="3"/>
      <c r="V742" s="4"/>
    </row>
    <row r="743" spans="1:22" x14ac:dyDescent="0.2">
      <c r="A743" s="20" t="s">
        <v>831</v>
      </c>
      <c r="B743" s="20">
        <v>3985</v>
      </c>
      <c r="C743" s="21" t="s">
        <v>1</v>
      </c>
      <c r="D743" s="21" t="s">
        <v>2</v>
      </c>
      <c r="E743" s="21" t="s">
        <v>90</v>
      </c>
      <c r="F743" s="21" t="s">
        <v>94</v>
      </c>
      <c r="G743" s="21" t="s">
        <v>1778</v>
      </c>
      <c r="H743" s="22" t="str" cm="1">
        <f t="array" ref="H743">Reverse2_6(O743)</f>
        <v>00-010201</v>
      </c>
      <c r="I743" s="45" cm="1">
        <f t="array" ref="I743">HEX2DEC(Reverse(P743))</f>
        <v>93631153</v>
      </c>
      <c r="J743" s="45" cm="1">
        <f t="array" ref="J743">IF(Q743&lt;&gt;0, HEX2DEC(Reverse(Q743))-$I743,"")</f>
        <v>30</v>
      </c>
      <c r="K743" s="45" cm="1">
        <f t="array" ref="K743">IF(R743&lt;&gt;0, HEX2DEC(Reverse(R743))-$I743,"")</f>
        <v>336</v>
      </c>
      <c r="L743" s="45" t="str" cm="1">
        <f t="array" ref="L743">IF(S743&lt;&gt;0, HEX2DEC(Reverse(S743))-$I743,"")</f>
        <v/>
      </c>
      <c r="M743" s="45" cm="1">
        <f t="array" ref="M743">IF(T743&lt;&gt;0, HEX2DEC(Reverse(T743))-$I743,"")</f>
        <v>327</v>
      </c>
      <c r="O743" s="3">
        <v>1020100</v>
      </c>
      <c r="P743" s="3" t="s">
        <v>114</v>
      </c>
      <c r="Q743" s="3" t="s">
        <v>921</v>
      </c>
      <c r="R743" s="3" t="s">
        <v>1722</v>
      </c>
      <c r="S743" s="3">
        <v>0</v>
      </c>
      <c r="T743" s="3" t="s">
        <v>1695</v>
      </c>
      <c r="U743" s="3"/>
      <c r="V743" s="4"/>
    </row>
    <row r="744" spans="1:22" x14ac:dyDescent="0.2">
      <c r="A744" s="20" t="s">
        <v>832</v>
      </c>
      <c r="B744" s="20">
        <v>3986</v>
      </c>
      <c r="C744" s="21" t="s">
        <v>1</v>
      </c>
      <c r="D744" s="21" t="s">
        <v>2</v>
      </c>
      <c r="E744" s="21" t="s">
        <v>90</v>
      </c>
      <c r="F744" s="21" t="s">
        <v>94</v>
      </c>
      <c r="G744" s="21" t="s">
        <v>1778</v>
      </c>
      <c r="H744" s="22" t="str" cm="1">
        <f t="array" ref="H744">Reverse2_6(O744)</f>
        <v>00-010201</v>
      </c>
      <c r="I744" s="45" cm="1">
        <f t="array" ref="I744">HEX2DEC(Reverse(P744))</f>
        <v>93631153</v>
      </c>
      <c r="J744" s="45" cm="1">
        <f t="array" ref="J744">IF(Q744&lt;&gt;0, HEX2DEC(Reverse(Q744))-$I744,"")</f>
        <v>30</v>
      </c>
      <c r="K744" s="45" cm="1">
        <f t="array" ref="K744">IF(R744&lt;&gt;0, HEX2DEC(Reverse(R744))-$I744,"")</f>
        <v>337</v>
      </c>
      <c r="L744" s="45" t="str" cm="1">
        <f t="array" ref="L744">IF(S744&lt;&gt;0, HEX2DEC(Reverse(S744))-$I744,"")</f>
        <v/>
      </c>
      <c r="M744" s="45" cm="1">
        <f t="array" ref="M744">IF(T744&lt;&gt;0, HEX2DEC(Reverse(T744))-$I744,"")</f>
        <v>328</v>
      </c>
      <c r="O744" s="3">
        <v>1020100</v>
      </c>
      <c r="P744" s="3" t="s">
        <v>114</v>
      </c>
      <c r="Q744" s="3" t="s">
        <v>921</v>
      </c>
      <c r="R744" s="3" t="s">
        <v>1725</v>
      </c>
      <c r="S744" s="3">
        <v>0</v>
      </c>
      <c r="T744" s="3" t="s">
        <v>1698</v>
      </c>
      <c r="U744" s="3"/>
      <c r="V744" s="4"/>
    </row>
    <row r="745" spans="1:22" x14ac:dyDescent="0.2">
      <c r="A745" s="20" t="s">
        <v>833</v>
      </c>
      <c r="B745" s="20">
        <v>3987</v>
      </c>
      <c r="C745" s="21" t="s">
        <v>1</v>
      </c>
      <c r="D745" s="21" t="s">
        <v>2</v>
      </c>
      <c r="E745" s="21" t="s">
        <v>90</v>
      </c>
      <c r="F745" s="21" t="s">
        <v>94</v>
      </c>
      <c r="G745" s="21" t="s">
        <v>1778</v>
      </c>
      <c r="H745" s="22" t="str" cm="1">
        <f t="array" ref="H745">Reverse2_6(O745)</f>
        <v>00-010201</v>
      </c>
      <c r="I745" s="45" cm="1">
        <f t="array" ref="I745">HEX2DEC(Reverse(P745))</f>
        <v>93631153</v>
      </c>
      <c r="J745" s="45" cm="1">
        <f t="array" ref="J745">IF(Q745&lt;&gt;0, HEX2DEC(Reverse(Q745))-$I745,"")</f>
        <v>30</v>
      </c>
      <c r="K745" s="45" cm="1">
        <f t="array" ref="K745">IF(R745&lt;&gt;0, HEX2DEC(Reverse(R745))-$I745,"")</f>
        <v>338</v>
      </c>
      <c r="L745" s="45" t="str" cm="1">
        <f t="array" ref="L745">IF(S745&lt;&gt;0, HEX2DEC(Reverse(S745))-$I745,"")</f>
        <v/>
      </c>
      <c r="M745" s="45" cm="1">
        <f t="array" ref="M745">IF(T745&lt;&gt;0, HEX2DEC(Reverse(T745))-$I745,"")</f>
        <v>329</v>
      </c>
      <c r="O745" s="3">
        <v>1020100</v>
      </c>
      <c r="P745" s="3" t="s">
        <v>114</v>
      </c>
      <c r="Q745" s="3" t="s">
        <v>921</v>
      </c>
      <c r="R745" s="3" t="s">
        <v>1728</v>
      </c>
      <c r="S745" s="3">
        <v>0</v>
      </c>
      <c r="T745" s="3" t="s">
        <v>1701</v>
      </c>
      <c r="U745" s="3"/>
      <c r="V745" s="4"/>
    </row>
    <row r="746" spans="1:22" x14ac:dyDescent="0.2">
      <c r="A746" s="20" t="s">
        <v>834</v>
      </c>
      <c r="B746" s="20">
        <v>3988</v>
      </c>
      <c r="C746" s="21" t="s">
        <v>1</v>
      </c>
      <c r="D746" s="21" t="s">
        <v>2</v>
      </c>
      <c r="E746" s="21" t="s">
        <v>90</v>
      </c>
      <c r="F746" s="21" t="s">
        <v>94</v>
      </c>
      <c r="G746" s="21" t="s">
        <v>1778</v>
      </c>
      <c r="H746" s="22" t="str" cm="1">
        <f t="array" ref="H746">Reverse2_6(O746)</f>
        <v>00-010201</v>
      </c>
      <c r="I746" s="45" cm="1">
        <f t="array" ref="I746">HEX2DEC(Reverse(P746))</f>
        <v>93631153</v>
      </c>
      <c r="J746" s="45" cm="1">
        <f t="array" ref="J746">IF(Q746&lt;&gt;0, HEX2DEC(Reverse(Q746))-$I746,"")</f>
        <v>30</v>
      </c>
      <c r="K746" s="45" cm="1">
        <f t="array" ref="K746">IF(R746&lt;&gt;0, HEX2DEC(Reverse(R746))-$I746,"")</f>
        <v>339</v>
      </c>
      <c r="L746" s="45" t="str" cm="1">
        <f t="array" ref="L746">IF(S746&lt;&gt;0, HEX2DEC(Reverse(S746))-$I746,"")</f>
        <v/>
      </c>
      <c r="M746" s="45" cm="1">
        <f t="array" ref="M746">IF(T746&lt;&gt;0, HEX2DEC(Reverse(T746))-$I746,"")</f>
        <v>330</v>
      </c>
      <c r="O746" s="3">
        <v>1020100</v>
      </c>
      <c r="P746" s="3" t="s">
        <v>114</v>
      </c>
      <c r="Q746" s="3" t="s">
        <v>921</v>
      </c>
      <c r="R746" s="3" t="s">
        <v>1731</v>
      </c>
      <c r="S746" s="3">
        <v>0</v>
      </c>
      <c r="T746" s="3" t="s">
        <v>1704</v>
      </c>
      <c r="U746" s="3"/>
      <c r="V746" s="4"/>
    </row>
    <row r="747" spans="1:22" x14ac:dyDescent="0.2">
      <c r="A747" s="20" t="s">
        <v>835</v>
      </c>
      <c r="B747" s="20">
        <v>3989</v>
      </c>
      <c r="C747" s="21" t="s">
        <v>1</v>
      </c>
      <c r="D747" s="21" t="s">
        <v>2</v>
      </c>
      <c r="E747" s="21" t="s">
        <v>90</v>
      </c>
      <c r="F747" s="21" t="s">
        <v>94</v>
      </c>
      <c r="G747" s="21" t="s">
        <v>1778</v>
      </c>
      <c r="H747" s="22" t="str" cm="1">
        <f t="array" ref="H747">Reverse2_6(O747)</f>
        <v>00-010201</v>
      </c>
      <c r="I747" s="45" cm="1">
        <f t="array" ref="I747">HEX2DEC(Reverse(P747))</f>
        <v>93631153</v>
      </c>
      <c r="J747" s="45" cm="1">
        <f t="array" ref="J747">IF(Q747&lt;&gt;0, HEX2DEC(Reverse(Q747))-$I747,"")</f>
        <v>30</v>
      </c>
      <c r="K747" s="45" cm="1">
        <f t="array" ref="K747">IF(R747&lt;&gt;0, HEX2DEC(Reverse(R747))-$I747,"")</f>
        <v>340</v>
      </c>
      <c r="L747" s="45" t="str" cm="1">
        <f t="array" ref="L747">IF(S747&lt;&gt;0, HEX2DEC(Reverse(S747))-$I747,"")</f>
        <v/>
      </c>
      <c r="M747" s="45" cm="1">
        <f t="array" ref="M747">IF(T747&lt;&gt;0, HEX2DEC(Reverse(T747))-$I747,"")</f>
        <v>331</v>
      </c>
      <c r="O747" s="3">
        <v>1020100</v>
      </c>
      <c r="P747" s="3" t="s">
        <v>114</v>
      </c>
      <c r="Q747" s="3" t="s">
        <v>921</v>
      </c>
      <c r="R747" s="3" t="s">
        <v>1734</v>
      </c>
      <c r="S747" s="3">
        <v>0</v>
      </c>
      <c r="T747" s="3" t="s">
        <v>1707</v>
      </c>
      <c r="U747" s="3"/>
      <c r="V747" s="4"/>
    </row>
    <row r="748" spans="1:22" x14ac:dyDescent="0.2">
      <c r="A748" s="20" t="s">
        <v>836</v>
      </c>
      <c r="B748" s="20">
        <v>3990</v>
      </c>
      <c r="C748" s="21" t="s">
        <v>1</v>
      </c>
      <c r="D748" s="21" t="s">
        <v>2</v>
      </c>
      <c r="E748" s="21" t="s">
        <v>90</v>
      </c>
      <c r="F748" s="21" t="s">
        <v>94</v>
      </c>
      <c r="G748" s="21" t="s">
        <v>1778</v>
      </c>
      <c r="H748" s="22" t="str" cm="1">
        <f t="array" ref="H748">Reverse2_6(O748)</f>
        <v>00-010201</v>
      </c>
      <c r="I748" s="45" cm="1">
        <f t="array" ref="I748">HEX2DEC(Reverse(P748))</f>
        <v>93631153</v>
      </c>
      <c r="J748" s="45" cm="1">
        <f t="array" ref="J748">IF(Q748&lt;&gt;0, HEX2DEC(Reverse(Q748))-$I748,"")</f>
        <v>30</v>
      </c>
      <c r="K748" s="45" cm="1">
        <f t="array" ref="K748">IF(R748&lt;&gt;0, HEX2DEC(Reverse(R748))-$I748,"")</f>
        <v>341</v>
      </c>
      <c r="L748" s="45" t="str" cm="1">
        <f t="array" ref="L748">IF(S748&lt;&gt;0, HEX2DEC(Reverse(S748))-$I748,"")</f>
        <v/>
      </c>
      <c r="M748" s="45" cm="1">
        <f t="array" ref="M748">IF(T748&lt;&gt;0, HEX2DEC(Reverse(T748))-$I748,"")</f>
        <v>332</v>
      </c>
      <c r="O748" s="3">
        <v>1020100</v>
      </c>
      <c r="P748" s="3" t="s">
        <v>114</v>
      </c>
      <c r="Q748" s="3" t="s">
        <v>921</v>
      </c>
      <c r="R748" s="3" t="s">
        <v>1737</v>
      </c>
      <c r="S748" s="3">
        <v>0</v>
      </c>
      <c r="T748" s="3" t="s">
        <v>1710</v>
      </c>
      <c r="U748" s="3"/>
      <c r="V748" s="4"/>
    </row>
    <row r="749" spans="1:22" x14ac:dyDescent="0.2">
      <c r="A749" s="16" t="s">
        <v>837</v>
      </c>
      <c r="B749" s="16">
        <v>3991</v>
      </c>
      <c r="C749" s="15" t="s">
        <v>2</v>
      </c>
      <c r="D749" s="15" t="s">
        <v>1</v>
      </c>
      <c r="E749" s="15" t="s">
        <v>92</v>
      </c>
      <c r="F749" s="15" t="s">
        <v>96</v>
      </c>
      <c r="G749" s="15"/>
      <c r="H749" s="17" t="str" cm="1">
        <f t="array" ref="H749">Reverse2_6(O749)</f>
        <v>00-010101</v>
      </c>
      <c r="I749" s="18" cm="1">
        <f t="array" ref="I749">HEX2DEC(Reverse(P749))</f>
        <v>93631153</v>
      </c>
      <c r="J749" s="18" cm="1">
        <f t="array" ref="J749">IF(Q749&lt;&gt;0, HEX2DEC(Reverse(Q749))-$I749,"")</f>
        <v>342</v>
      </c>
      <c r="K749" s="18" cm="1">
        <f t="array" ref="K749">IF(R749&lt;&gt;0, HEX2DEC(Reverse(R749))-$I749,"")</f>
        <v>30</v>
      </c>
      <c r="L749" s="18" cm="1">
        <f t="array" ref="L749">IF(S749&lt;&gt;0, HEX2DEC(Reverse(S749))-$I749,"")</f>
        <v>333</v>
      </c>
      <c r="M749" s="18" cm="1">
        <f t="array" ref="M749">IF(T749&lt;&gt;0, HEX2DEC(Reverse(T749))-$I749,"")</f>
        <v>30</v>
      </c>
      <c r="O749" s="3">
        <v>1010100</v>
      </c>
      <c r="P749" s="3" t="s">
        <v>114</v>
      </c>
      <c r="Q749" s="3" t="s">
        <v>1738</v>
      </c>
      <c r="R749" s="12" t="s">
        <v>921</v>
      </c>
      <c r="S749" s="3" t="s">
        <v>1713</v>
      </c>
      <c r="T749" s="12" t="s">
        <v>921</v>
      </c>
      <c r="U749" s="3" t="s">
        <v>1739</v>
      </c>
      <c r="V749" s="4" t="s">
        <v>1740</v>
      </c>
    </row>
    <row r="750" spans="1:22" x14ac:dyDescent="0.2">
      <c r="A750" s="16" t="s">
        <v>838</v>
      </c>
      <c r="B750" s="16">
        <v>3992</v>
      </c>
      <c r="C750" s="15" t="s">
        <v>2</v>
      </c>
      <c r="D750" s="15" t="s">
        <v>1</v>
      </c>
      <c r="E750" s="15" t="s">
        <v>92</v>
      </c>
      <c r="F750" s="15" t="s">
        <v>96</v>
      </c>
      <c r="G750" s="15"/>
      <c r="H750" s="17" t="str" cm="1">
        <f t="array" ref="H750">Reverse2_6(O750)</f>
        <v>00-010101</v>
      </c>
      <c r="I750" s="18" cm="1">
        <f t="array" ref="I750">HEX2DEC(Reverse(P750))</f>
        <v>93631153</v>
      </c>
      <c r="J750" s="18" cm="1">
        <f t="array" ref="J750">IF(Q750&lt;&gt;0, HEX2DEC(Reverse(Q750))-$I750,"")</f>
        <v>343</v>
      </c>
      <c r="K750" s="18" cm="1">
        <f t="array" ref="K750">IF(R750&lt;&gt;0, HEX2DEC(Reverse(R750))-$I750,"")</f>
        <v>30</v>
      </c>
      <c r="L750" s="18" cm="1">
        <f t="array" ref="L750">IF(S750&lt;&gt;0, HEX2DEC(Reverse(S750))-$I750,"")</f>
        <v>334</v>
      </c>
      <c r="M750" s="18" cm="1">
        <f t="array" ref="M750">IF(T750&lt;&gt;0, HEX2DEC(Reverse(T750))-$I750,"")</f>
        <v>30</v>
      </c>
      <c r="O750" s="3">
        <v>1010100</v>
      </c>
      <c r="P750" s="3" t="s">
        <v>114</v>
      </c>
      <c r="Q750" s="3" t="s">
        <v>1741</v>
      </c>
      <c r="R750" s="12" t="s">
        <v>921</v>
      </c>
      <c r="S750" s="3" t="s">
        <v>1716</v>
      </c>
      <c r="T750" s="12" t="s">
        <v>921</v>
      </c>
      <c r="U750" s="3" t="s">
        <v>1742</v>
      </c>
      <c r="V750" s="4" t="s">
        <v>1743</v>
      </c>
    </row>
    <row r="751" spans="1:22" x14ac:dyDescent="0.2">
      <c r="A751" s="16" t="s">
        <v>839</v>
      </c>
      <c r="B751" s="16">
        <v>3993</v>
      </c>
      <c r="C751" s="15" t="s">
        <v>2</v>
      </c>
      <c r="D751" s="15" t="s">
        <v>1</v>
      </c>
      <c r="E751" s="15" t="s">
        <v>92</v>
      </c>
      <c r="F751" s="15" t="s">
        <v>96</v>
      </c>
      <c r="G751" s="15"/>
      <c r="H751" s="17" t="str" cm="1">
        <f t="array" ref="H751">Reverse2_6(O751)</f>
        <v>00-010101</v>
      </c>
      <c r="I751" s="18" cm="1">
        <f t="array" ref="I751">HEX2DEC(Reverse(P751))</f>
        <v>93631153</v>
      </c>
      <c r="J751" s="18" cm="1">
        <f t="array" ref="J751">IF(Q751&lt;&gt;0, HEX2DEC(Reverse(Q751))-$I751,"")</f>
        <v>344</v>
      </c>
      <c r="K751" s="18" cm="1">
        <f t="array" ref="K751">IF(R751&lt;&gt;0, HEX2DEC(Reverse(R751))-$I751,"")</f>
        <v>30</v>
      </c>
      <c r="L751" s="18" cm="1">
        <f t="array" ref="L751">IF(S751&lt;&gt;0, HEX2DEC(Reverse(S751))-$I751,"")</f>
        <v>335</v>
      </c>
      <c r="M751" s="18" cm="1">
        <f t="array" ref="M751">IF(T751&lt;&gt;0, HEX2DEC(Reverse(T751))-$I751,"")</f>
        <v>30</v>
      </c>
      <c r="O751" s="3">
        <v>1010100</v>
      </c>
      <c r="P751" s="3" t="s">
        <v>114</v>
      </c>
      <c r="Q751" s="3" t="s">
        <v>1744</v>
      </c>
      <c r="R751" s="12" t="s">
        <v>921</v>
      </c>
      <c r="S751" s="3" t="s">
        <v>1719</v>
      </c>
      <c r="T751" s="12" t="s">
        <v>921</v>
      </c>
      <c r="U751" s="3" t="s">
        <v>1745</v>
      </c>
      <c r="V751" s="4" t="s">
        <v>1746</v>
      </c>
    </row>
    <row r="752" spans="1:22" x14ac:dyDescent="0.2">
      <c r="A752" s="20" t="s">
        <v>840</v>
      </c>
      <c r="B752" s="20">
        <v>3994</v>
      </c>
      <c r="C752" s="21" t="s">
        <v>1</v>
      </c>
      <c r="D752" s="21" t="s">
        <v>2</v>
      </c>
      <c r="E752" s="21" t="s">
        <v>90</v>
      </c>
      <c r="F752" s="21" t="s">
        <v>94</v>
      </c>
      <c r="G752" s="21" t="s">
        <v>1778</v>
      </c>
      <c r="H752" s="22" t="str" cm="1">
        <f t="array" ref="H752">Reverse2_6(O752)</f>
        <v>00-010201</v>
      </c>
      <c r="I752" s="45" cm="1">
        <f t="array" ref="I752">HEX2DEC(Reverse(P752))</f>
        <v>93631153</v>
      </c>
      <c r="J752" s="45" cm="1">
        <f t="array" ref="J752">IF(Q752&lt;&gt;0, HEX2DEC(Reverse(Q752))-$I752,"")</f>
        <v>30</v>
      </c>
      <c r="K752" s="45" cm="1">
        <f t="array" ref="K752">IF(R752&lt;&gt;0, HEX2DEC(Reverse(R752))-$I752,"")</f>
        <v>342</v>
      </c>
      <c r="L752" s="45" t="str" cm="1">
        <f t="array" ref="L752">IF(S752&lt;&gt;0, HEX2DEC(Reverse(S752))-$I752,"")</f>
        <v/>
      </c>
      <c r="M752" s="45" cm="1">
        <f t="array" ref="M752">IF(T752&lt;&gt;0, HEX2DEC(Reverse(T752))-$I752,"")</f>
        <v>333</v>
      </c>
      <c r="O752" s="3">
        <v>1020100</v>
      </c>
      <c r="P752" s="3" t="s">
        <v>114</v>
      </c>
      <c r="Q752" s="3" t="s">
        <v>921</v>
      </c>
      <c r="R752" s="3" t="s">
        <v>1738</v>
      </c>
      <c r="S752" s="3">
        <v>0</v>
      </c>
      <c r="T752" s="3" t="s">
        <v>1713</v>
      </c>
      <c r="U752" s="3"/>
      <c r="V752" s="4"/>
    </row>
    <row r="753" spans="1:22" x14ac:dyDescent="0.2">
      <c r="A753" s="20" t="s">
        <v>841</v>
      </c>
      <c r="B753" s="20">
        <v>3995</v>
      </c>
      <c r="C753" s="21" t="s">
        <v>1</v>
      </c>
      <c r="D753" s="21" t="s">
        <v>2</v>
      </c>
      <c r="E753" s="21" t="s">
        <v>90</v>
      </c>
      <c r="F753" s="21" t="s">
        <v>94</v>
      </c>
      <c r="G753" s="21" t="s">
        <v>1778</v>
      </c>
      <c r="H753" s="22" t="str" cm="1">
        <f t="array" ref="H753">Reverse2_6(O753)</f>
        <v>00-010201</v>
      </c>
      <c r="I753" s="45" cm="1">
        <f t="array" ref="I753">HEX2DEC(Reverse(P753))</f>
        <v>93631153</v>
      </c>
      <c r="J753" s="45" cm="1">
        <f t="array" ref="J753">IF(Q753&lt;&gt;0, HEX2DEC(Reverse(Q753))-$I753,"")</f>
        <v>30</v>
      </c>
      <c r="K753" s="45" cm="1">
        <f t="array" ref="K753">IF(R753&lt;&gt;0, HEX2DEC(Reverse(R753))-$I753,"")</f>
        <v>343</v>
      </c>
      <c r="L753" s="45" t="str" cm="1">
        <f t="array" ref="L753">IF(S753&lt;&gt;0, HEX2DEC(Reverse(S753))-$I753,"")</f>
        <v/>
      </c>
      <c r="M753" s="45" cm="1">
        <f t="array" ref="M753">IF(T753&lt;&gt;0, HEX2DEC(Reverse(T753))-$I753,"")</f>
        <v>334</v>
      </c>
      <c r="O753" s="3">
        <v>1020100</v>
      </c>
      <c r="P753" s="3" t="s">
        <v>114</v>
      </c>
      <c r="Q753" s="3" t="s">
        <v>921</v>
      </c>
      <c r="R753" s="3" t="s">
        <v>1741</v>
      </c>
      <c r="S753" s="3">
        <v>0</v>
      </c>
      <c r="T753" s="3" t="s">
        <v>1716</v>
      </c>
      <c r="U753" s="3"/>
      <c r="V753" s="4"/>
    </row>
    <row r="754" spans="1:22" x14ac:dyDescent="0.2">
      <c r="A754" s="20" t="s">
        <v>842</v>
      </c>
      <c r="B754" s="20">
        <v>3996</v>
      </c>
      <c r="C754" s="21" t="s">
        <v>1</v>
      </c>
      <c r="D754" s="21" t="s">
        <v>2</v>
      </c>
      <c r="E754" s="21" t="s">
        <v>90</v>
      </c>
      <c r="F754" s="21" t="s">
        <v>94</v>
      </c>
      <c r="G754" s="21" t="s">
        <v>1778</v>
      </c>
      <c r="H754" s="22" t="str" cm="1">
        <f t="array" ref="H754">Reverse2_6(O754)</f>
        <v>00-010201</v>
      </c>
      <c r="I754" s="45" cm="1">
        <f t="array" ref="I754">HEX2DEC(Reverse(P754))</f>
        <v>93631153</v>
      </c>
      <c r="J754" s="45" cm="1">
        <f t="array" ref="J754">IF(Q754&lt;&gt;0, HEX2DEC(Reverse(Q754))-$I754,"")</f>
        <v>30</v>
      </c>
      <c r="K754" s="45" cm="1">
        <f t="array" ref="K754">IF(R754&lt;&gt;0, HEX2DEC(Reverse(R754))-$I754,"")</f>
        <v>344</v>
      </c>
      <c r="L754" s="45" t="str" cm="1">
        <f t="array" ref="L754">IF(S754&lt;&gt;0, HEX2DEC(Reverse(S754))-$I754,"")</f>
        <v/>
      </c>
      <c r="M754" s="45" cm="1">
        <f t="array" ref="M754">IF(T754&lt;&gt;0, HEX2DEC(Reverse(T754))-$I754,"")</f>
        <v>335</v>
      </c>
      <c r="O754" s="3">
        <v>1020100</v>
      </c>
      <c r="P754" s="3" t="s">
        <v>114</v>
      </c>
      <c r="Q754" s="3" t="s">
        <v>921</v>
      </c>
      <c r="R754" s="3" t="s">
        <v>1744</v>
      </c>
      <c r="S754" s="3">
        <v>0</v>
      </c>
      <c r="T754" s="3" t="s">
        <v>1719</v>
      </c>
      <c r="U754" s="3"/>
      <c r="V754" s="4"/>
    </row>
    <row r="755" spans="1:22" x14ac:dyDescent="0.2">
      <c r="A755" s="16" t="s">
        <v>843</v>
      </c>
      <c r="B755" s="16">
        <v>3997</v>
      </c>
      <c r="C755" s="15" t="s">
        <v>2</v>
      </c>
      <c r="D755" s="15" t="s">
        <v>1</v>
      </c>
      <c r="E755" s="15" t="s">
        <v>92</v>
      </c>
      <c r="F755" s="15" t="s">
        <v>96</v>
      </c>
      <c r="G755" s="15"/>
      <c r="H755" s="17" t="str" cm="1">
        <f t="array" ref="H755">Reverse2_6(O755)</f>
        <v>00-010101</v>
      </c>
      <c r="I755" s="18" cm="1">
        <f t="array" ref="I755">HEX2DEC(Reverse(P755))</f>
        <v>93631153</v>
      </c>
      <c r="J755" s="18" cm="1">
        <f t="array" ref="J755">IF(Q755&lt;&gt;0, HEX2DEC(Reverse(Q755))-$I755,"")</f>
        <v>345</v>
      </c>
      <c r="K755" s="18" cm="1">
        <f t="array" ref="K755">IF(R755&lt;&gt;0, HEX2DEC(Reverse(R755))-$I755,"")</f>
        <v>30</v>
      </c>
      <c r="L755" s="18" cm="1">
        <f t="array" ref="L755">IF(S755&lt;&gt;0, HEX2DEC(Reverse(S755))-$I755,"")</f>
        <v>336</v>
      </c>
      <c r="M755" s="18" cm="1">
        <f t="array" ref="M755">IF(T755&lt;&gt;0, HEX2DEC(Reverse(T755))-$I755,"")</f>
        <v>30</v>
      </c>
      <c r="O755" s="3">
        <v>1010100</v>
      </c>
      <c r="P755" s="3" t="s">
        <v>114</v>
      </c>
      <c r="Q755" s="3" t="s">
        <v>1747</v>
      </c>
      <c r="R755" s="12" t="s">
        <v>921</v>
      </c>
      <c r="S755" s="3" t="s">
        <v>1722</v>
      </c>
      <c r="T755" s="12" t="s">
        <v>921</v>
      </c>
      <c r="U755" s="3" t="s">
        <v>1748</v>
      </c>
      <c r="V755" s="4" t="s">
        <v>1749</v>
      </c>
    </row>
    <row r="756" spans="1:22" x14ac:dyDescent="0.2">
      <c r="A756" s="20" t="s">
        <v>844</v>
      </c>
      <c r="B756" s="20">
        <v>3998</v>
      </c>
      <c r="C756" s="21" t="s">
        <v>1</v>
      </c>
      <c r="D756" s="21" t="s">
        <v>2</v>
      </c>
      <c r="E756" s="21" t="s">
        <v>90</v>
      </c>
      <c r="F756" s="21" t="s">
        <v>94</v>
      </c>
      <c r="G756" s="21" t="s">
        <v>1778</v>
      </c>
      <c r="H756" s="22" t="str" cm="1">
        <f t="array" ref="H756">Reverse2_6(O756)</f>
        <v>00-010201</v>
      </c>
      <c r="I756" s="45" cm="1">
        <f t="array" ref="I756">HEX2DEC(Reverse(P756))</f>
        <v>93631153</v>
      </c>
      <c r="J756" s="45" cm="1">
        <f t="array" ref="J756">IF(Q756&lt;&gt;0, HEX2DEC(Reverse(Q756))-$I756,"")</f>
        <v>30</v>
      </c>
      <c r="K756" s="45" cm="1">
        <f t="array" ref="K756">IF(R756&lt;&gt;0, HEX2DEC(Reverse(R756))-$I756,"")</f>
        <v>345</v>
      </c>
      <c r="L756" s="45" t="str" cm="1">
        <f t="array" ref="L756">IF(S756&lt;&gt;0, HEX2DEC(Reverse(S756))-$I756,"")</f>
        <v/>
      </c>
      <c r="M756" s="45" cm="1">
        <f t="array" ref="M756">IF(T756&lt;&gt;0, HEX2DEC(Reverse(T756))-$I756,"")</f>
        <v>336</v>
      </c>
      <c r="O756" s="3">
        <v>1020100</v>
      </c>
      <c r="P756" s="3" t="s">
        <v>114</v>
      </c>
      <c r="Q756" s="3" t="s">
        <v>921</v>
      </c>
      <c r="R756" s="3" t="s">
        <v>1747</v>
      </c>
      <c r="S756" s="3">
        <v>0</v>
      </c>
      <c r="T756" s="3" t="s">
        <v>1722</v>
      </c>
      <c r="U756" s="3"/>
      <c r="V756" s="4"/>
    </row>
    <row r="757" spans="1:22" x14ac:dyDescent="0.2">
      <c r="A757" s="16" t="s">
        <v>845</v>
      </c>
      <c r="B757" s="16">
        <v>3999</v>
      </c>
      <c r="C757" s="15" t="s">
        <v>2</v>
      </c>
      <c r="D757" s="15" t="s">
        <v>1</v>
      </c>
      <c r="E757" s="15" t="s">
        <v>92</v>
      </c>
      <c r="F757" s="15" t="s">
        <v>96</v>
      </c>
      <c r="G757" s="15"/>
      <c r="H757" s="17" t="str" cm="1">
        <f t="array" ref="H757">Reverse2_6(O757)</f>
        <v>00-010101</v>
      </c>
      <c r="I757" s="18" cm="1">
        <f t="array" ref="I757">HEX2DEC(Reverse(P757))</f>
        <v>93631153</v>
      </c>
      <c r="J757" s="18" cm="1">
        <f t="array" ref="J757">IF(Q757&lt;&gt;0, HEX2DEC(Reverse(Q757))-$I757,"")</f>
        <v>346</v>
      </c>
      <c r="K757" s="18" cm="1">
        <f t="array" ref="K757">IF(R757&lt;&gt;0, HEX2DEC(Reverse(R757))-$I757,"")</f>
        <v>30</v>
      </c>
      <c r="L757" s="18" cm="1">
        <f t="array" ref="L757">IF(S757&lt;&gt;0, HEX2DEC(Reverse(S757))-$I757,"")</f>
        <v>337</v>
      </c>
      <c r="M757" s="18" cm="1">
        <f t="array" ref="M757">IF(T757&lt;&gt;0, HEX2DEC(Reverse(T757))-$I757,"")</f>
        <v>30</v>
      </c>
      <c r="O757" s="3">
        <v>1010100</v>
      </c>
      <c r="P757" s="3" t="s">
        <v>114</v>
      </c>
      <c r="Q757" s="3" t="s">
        <v>1750</v>
      </c>
      <c r="R757" s="12" t="s">
        <v>921</v>
      </c>
      <c r="S757" s="3" t="s">
        <v>1725</v>
      </c>
      <c r="T757" s="12" t="s">
        <v>921</v>
      </c>
      <c r="U757" s="3" t="s">
        <v>1751</v>
      </c>
      <c r="V757" s="4" t="s">
        <v>1752</v>
      </c>
    </row>
    <row r="758" spans="1:22" x14ac:dyDescent="0.2">
      <c r="V758" s="4"/>
    </row>
    <row r="759" spans="1:22" x14ac:dyDescent="0.2">
      <c r="V759" s="4"/>
    </row>
    <row r="760" spans="1:22" x14ac:dyDescent="0.2">
      <c r="V760" s="4"/>
    </row>
    <row r="761" spans="1:22" x14ac:dyDescent="0.2">
      <c r="V761" s="4"/>
    </row>
    <row r="762" spans="1:22" x14ac:dyDescent="0.2">
      <c r="V762" s="4"/>
    </row>
    <row r="763" spans="1:22" x14ac:dyDescent="0.2">
      <c r="V763" s="4"/>
    </row>
    <row r="764" spans="1:22" x14ac:dyDescent="0.2">
      <c r="V764" s="4"/>
    </row>
    <row r="765" spans="1:22" x14ac:dyDescent="0.2">
      <c r="V765" s="4"/>
    </row>
    <row r="766" spans="1:22" x14ac:dyDescent="0.2">
      <c r="V766" s="4"/>
    </row>
    <row r="767" spans="1:22" x14ac:dyDescent="0.2">
      <c r="V767" s="4"/>
    </row>
    <row r="768" spans="1:22" x14ac:dyDescent="0.2">
      <c r="V768" s="4"/>
    </row>
    <row r="769" spans="22:22" x14ac:dyDescent="0.2">
      <c r="V769" s="4"/>
    </row>
    <row r="770" spans="22:22" x14ac:dyDescent="0.2">
      <c r="V770" s="4"/>
    </row>
    <row r="771" spans="22:22" x14ac:dyDescent="0.2">
      <c r="V771" s="4"/>
    </row>
    <row r="772" spans="22:22" x14ac:dyDescent="0.2">
      <c r="V772" s="4"/>
    </row>
    <row r="773" spans="22:22" x14ac:dyDescent="0.2">
      <c r="V773" s="4"/>
    </row>
    <row r="774" spans="22:22" x14ac:dyDescent="0.2">
      <c r="V774" s="4"/>
    </row>
    <row r="775" spans="22:22" x14ac:dyDescent="0.2">
      <c r="V775" s="4"/>
    </row>
    <row r="776" spans="22:22" x14ac:dyDescent="0.2">
      <c r="V776" s="4"/>
    </row>
    <row r="777" spans="22:22" x14ac:dyDescent="0.2">
      <c r="V777" s="4"/>
    </row>
    <row r="778" spans="22:22" x14ac:dyDescent="0.2">
      <c r="V778" s="4"/>
    </row>
    <row r="779" spans="22:22" x14ac:dyDescent="0.2">
      <c r="V779" s="4"/>
    </row>
    <row r="780" spans="22:22" x14ac:dyDescent="0.2">
      <c r="V780" s="4"/>
    </row>
    <row r="781" spans="22:22" x14ac:dyDescent="0.2">
      <c r="V781" s="4"/>
    </row>
    <row r="782" spans="22:22" x14ac:dyDescent="0.2">
      <c r="V782" s="4"/>
    </row>
    <row r="783" spans="22:22" x14ac:dyDescent="0.2">
      <c r="V783" s="4"/>
    </row>
    <row r="784" spans="22:22" x14ac:dyDescent="0.2">
      <c r="V784" s="4"/>
    </row>
    <row r="785" spans="22:22" x14ac:dyDescent="0.2">
      <c r="V785" s="4"/>
    </row>
    <row r="786" spans="22:22" x14ac:dyDescent="0.2">
      <c r="V786" s="4"/>
    </row>
    <row r="787" spans="22:22" x14ac:dyDescent="0.2">
      <c r="V787" s="4"/>
    </row>
    <row r="788" spans="22:22" x14ac:dyDescent="0.2">
      <c r="V788" s="4"/>
    </row>
    <row r="789" spans="22:22" x14ac:dyDescent="0.2">
      <c r="V789" s="4"/>
    </row>
    <row r="790" spans="22:22" x14ac:dyDescent="0.2">
      <c r="V790" s="4"/>
    </row>
    <row r="791" spans="22:22" x14ac:dyDescent="0.2">
      <c r="V791" s="4"/>
    </row>
    <row r="792" spans="22:22" x14ac:dyDescent="0.2">
      <c r="V792" s="4"/>
    </row>
    <row r="793" spans="22:22" x14ac:dyDescent="0.2">
      <c r="V793" s="4"/>
    </row>
    <row r="794" spans="22:22" x14ac:dyDescent="0.2">
      <c r="V794" s="4"/>
    </row>
    <row r="795" spans="22:22" x14ac:dyDescent="0.2">
      <c r="V795" s="4"/>
    </row>
    <row r="796" spans="22:22" x14ac:dyDescent="0.2">
      <c r="V796" s="4"/>
    </row>
    <row r="797" spans="22:22" x14ac:dyDescent="0.2">
      <c r="V797" s="4"/>
    </row>
    <row r="798" spans="22:22" x14ac:dyDescent="0.2">
      <c r="V798" s="4"/>
    </row>
    <row r="799" spans="22:22" x14ac:dyDescent="0.2">
      <c r="V799" s="4"/>
    </row>
    <row r="800" spans="22:22" x14ac:dyDescent="0.2">
      <c r="V800" s="4"/>
    </row>
    <row r="801" spans="22:22" x14ac:dyDescent="0.2">
      <c r="V801" s="4"/>
    </row>
    <row r="802" spans="22:22" x14ac:dyDescent="0.2">
      <c r="V802" s="4"/>
    </row>
    <row r="803" spans="22:22" x14ac:dyDescent="0.2">
      <c r="V803" s="4"/>
    </row>
    <row r="804" spans="22:22" x14ac:dyDescent="0.2">
      <c r="V804" s="4"/>
    </row>
    <row r="805" spans="22:22" x14ac:dyDescent="0.2">
      <c r="V805" s="4"/>
    </row>
    <row r="806" spans="22:22" x14ac:dyDescent="0.2">
      <c r="V806" s="4"/>
    </row>
    <row r="807" spans="22:22" x14ac:dyDescent="0.2">
      <c r="V807" s="4"/>
    </row>
    <row r="808" spans="22:22" x14ac:dyDescent="0.2">
      <c r="V808" s="4"/>
    </row>
    <row r="809" spans="22:22" x14ac:dyDescent="0.2">
      <c r="V809" s="4"/>
    </row>
  </sheetData>
  <autoFilter ref="A3:V757" xr:uid="{619D684D-1A07-5048-899C-3128D3C3101A}"/>
  <conditionalFormatting sqref="O1:O2 O4:O1048576">
    <cfRule type="cellIs" dxfId="7" priority="7" operator="equal">
      <formula>1010100</formula>
    </cfRule>
    <cfRule type="cellIs" dxfId="6" priority="8" operator="equal">
      <formula>1020100</formula>
    </cfRule>
  </conditionalFormatting>
  <conditionalFormatting sqref="H3">
    <cfRule type="cellIs" dxfId="5" priority="5" operator="equal">
      <formula>1010100</formula>
    </cfRule>
    <cfRule type="cellIs" dxfId="4" priority="6" operator="equal">
      <formula>1020100</formula>
    </cfRule>
  </conditionalFormatting>
  <conditionalFormatting sqref="K3:M3">
    <cfRule type="cellIs" dxfId="3" priority="3" operator="equal">
      <formula>1010100</formula>
    </cfRule>
    <cfRule type="cellIs" dxfId="2" priority="4" operator="equal">
      <formula>1020100</formula>
    </cfRule>
  </conditionalFormatting>
  <conditionalFormatting sqref="O3">
    <cfRule type="cellIs" dxfId="1" priority="1" operator="equal">
      <formula>1010100</formula>
    </cfRule>
    <cfRule type="cellIs" dxfId="0" priority="2" operator="equal">
      <formula>1020100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1</vt:i4>
      </vt:variant>
    </vt:vector>
  </HeadingPairs>
  <TitlesOfParts>
    <vt:vector size="1" baseType="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2023-01-14T12:59:58Z</dcterms:modified>
</cp:coreProperties>
</file>