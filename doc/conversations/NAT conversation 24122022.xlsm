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den/brod-video/doc/conversations/"/>
    </mc:Choice>
  </mc:AlternateContent>
  <xr:revisionPtr revIDLastSave="0" documentId="13_ncr:1_{A3793E1D-4CD0-0348-B1AC-CF97021CB5CD}" xr6:coauthVersionLast="47" xr6:coauthVersionMax="47" xr10:uidLastSave="{00000000-0000-0000-0000-000000000000}"/>
  <bookViews>
    <workbookView xWindow="3420" yWindow="500" windowWidth="25380" windowHeight="16100" xr2:uid="{6D54EE92-C4A8-824A-8C5D-4E7C28052283}"/>
  </bookViews>
  <sheets>
    <sheet name="Лист1" sheetId="1" r:id="rId1"/>
  </sheets>
  <functionGroups builtInGroupCount="19"/>
  <definedNames>
    <definedName name="_xlnm._FilterDatabase" localSheetId="0" hidden="1">Лист1!$A$1:$W$1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" l="1"/>
  <c r="H22" i="1" a="1"/>
  <c r="H14" i="1" a="1"/>
  <c r="H21" i="1" a="1"/>
  <c r="H17" i="1" a="1"/>
  <c r="H16" i="1" a="1"/>
  <c r="H15" i="1" a="1"/>
  <c r="H18" i="1" a="1"/>
  <c r="H20" i="1" a="1"/>
  <c r="H19" i="1" a="1"/>
  <c r="H3" i="1" a="1"/>
  <c r="H8" i="1" a="1"/>
  <c r="H12" i="1" a="1"/>
  <c r="H11" i="1" a="1"/>
  <c r="H6" i="1" a="1"/>
  <c r="H4" i="1" a="1"/>
  <c r="H7" i="1" a="1"/>
  <c r="H10" i="1" a="1"/>
  <c r="H9" i="1" a="1"/>
  <c r="H5" i="1" a="1"/>
  <c r="N22" i="1" a="1"/>
  <c r="N20" i="1" a="1"/>
  <c r="N18" i="1" a="1"/>
  <c r="N16" i="1" a="1"/>
  <c r="N14" i="1" a="1"/>
  <c r="I22" i="1" a="1"/>
  <c r="I20" i="1" a="1"/>
  <c r="I18" i="1" a="1"/>
  <c r="I16" i="1" a="1"/>
  <c r="I14" i="1" a="1"/>
  <c r="N21" i="1" a="1"/>
  <c r="N19" i="1" a="1"/>
  <c r="N17" i="1" a="1"/>
  <c r="N15" i="1" a="1"/>
  <c r="I21" i="1" a="1"/>
  <c r="I19" i="1" a="1"/>
  <c r="I17" i="1" a="1"/>
  <c r="I15" i="1" a="1"/>
  <c r="N8" i="1" a="1"/>
  <c r="N12" i="1" a="1"/>
  <c r="N4" i="1" a="1"/>
  <c r="N7" i="1" a="1"/>
  <c r="N6" i="1" a="1"/>
  <c r="N9" i="1" a="1"/>
  <c r="N5" i="1" a="1"/>
  <c r="N11" i="1" a="1"/>
  <c r="N10" i="1" a="1"/>
  <c r="N3" i="1" a="1"/>
  <c r="I8" i="1" a="1"/>
  <c r="I4" i="1" a="1"/>
  <c r="I11" i="1" a="1"/>
  <c r="I7" i="1" a="1"/>
  <c r="I10" i="1" a="1"/>
  <c r="I6" i="1" a="1"/>
  <c r="I5" i="1" a="1"/>
  <c r="I12" i="1" a="1"/>
  <c r="I9" i="1" a="1"/>
  <c r="I3" i="1" a="1"/>
  <c r="H19" i="1" l="1"/>
  <c r="H20" i="1"/>
  <c r="H18" i="1"/>
  <c r="H15" i="1"/>
  <c r="H16" i="1"/>
  <c r="H17" i="1"/>
  <c r="H21" i="1"/>
  <c r="H14" i="1"/>
  <c r="H22" i="1"/>
  <c r="H3" i="1"/>
  <c r="H5" i="1"/>
  <c r="H9" i="1"/>
  <c r="H10" i="1"/>
  <c r="H7" i="1"/>
  <c r="H4" i="1"/>
  <c r="H6" i="1"/>
  <c r="H11" i="1"/>
  <c r="H12" i="1"/>
  <c r="H8" i="1"/>
  <c r="I15" i="1"/>
  <c r="I17" i="1"/>
  <c r="I19" i="1"/>
  <c r="I21" i="1"/>
  <c r="N15" i="1"/>
  <c r="N17" i="1"/>
  <c r="N19" i="1"/>
  <c r="N21" i="1"/>
  <c r="I14" i="1"/>
  <c r="C13" i="1" s="1"/>
  <c r="I16" i="1"/>
  <c r="I18" i="1"/>
  <c r="I20" i="1"/>
  <c r="I22" i="1"/>
  <c r="N14" i="1"/>
  <c r="N16" i="1"/>
  <c r="N18" i="1"/>
  <c r="N20" i="1"/>
  <c r="N22" i="1"/>
  <c r="N10" i="1"/>
  <c r="N11" i="1"/>
  <c r="N5" i="1"/>
  <c r="N9" i="1"/>
  <c r="N6" i="1"/>
  <c r="N7" i="1"/>
  <c r="N4" i="1"/>
  <c r="N12" i="1"/>
  <c r="N8" i="1"/>
  <c r="N3" i="1"/>
  <c r="I9" i="1"/>
  <c r="I12" i="1"/>
  <c r="I5" i="1"/>
  <c r="I6" i="1"/>
  <c r="I10" i="1"/>
  <c r="I7" i="1"/>
  <c r="I11" i="1"/>
  <c r="I4" i="1"/>
  <c r="I8" i="1"/>
  <c r="I3" i="1"/>
  <c r="C2" i="1"/>
  <c r="J4" i="1" a="1"/>
  <c r="J9" i="1" a="1"/>
  <c r="J5" i="1" a="1"/>
  <c r="J6" i="1" a="1"/>
  <c r="J10" i="1" a="1"/>
  <c r="J7" i="1" a="1"/>
  <c r="J11" i="1" a="1"/>
  <c r="J12" i="1" a="1"/>
  <c r="J8" i="1" a="1"/>
  <c r="L6" i="1" a="1"/>
  <c r="M11" i="1" a="1"/>
  <c r="K5" i="1" a="1"/>
  <c r="K9" i="1" a="1"/>
  <c r="M6" i="1" a="1"/>
  <c r="K12" i="1" a="1"/>
  <c r="M5" i="1" a="1"/>
  <c r="L8" i="1" a="1"/>
  <c r="K11" i="1" a="1"/>
  <c r="L3" i="1" a="1"/>
  <c r="M8" i="1" a="1"/>
  <c r="M7" i="1" a="1"/>
  <c r="L5" i="1" a="1"/>
  <c r="K8" i="1" a="1"/>
  <c r="L4" i="1" a="1"/>
  <c r="K7" i="1" a="1"/>
  <c r="M9" i="1" a="1"/>
  <c r="M4" i="1" a="1"/>
  <c r="K6" i="1" a="1"/>
  <c r="L7" i="1" a="1"/>
  <c r="K10" i="1" a="1"/>
  <c r="J19" i="1" a="1"/>
  <c r="J20" i="1" a="1"/>
  <c r="J15" i="1" a="1"/>
  <c r="J16" i="1" a="1"/>
  <c r="J17" i="1" a="1"/>
  <c r="J21" i="1" a="1"/>
  <c r="J18" i="1" a="1"/>
  <c r="J22" i="1" a="1"/>
  <c r="M21" i="1" a="1"/>
  <c r="K22" i="1" a="1"/>
  <c r="K21" i="1" a="1"/>
  <c r="L16" i="1" a="1"/>
  <c r="K19" i="1" a="1"/>
  <c r="M16" i="1" a="1"/>
  <c r="L14" i="1" a="1"/>
  <c r="M17" i="1" a="1"/>
  <c r="L15" i="1" a="1"/>
  <c r="K18" i="1" a="1"/>
  <c r="L19" i="1" a="1"/>
  <c r="M15" i="1" a="1"/>
  <c r="K17" i="1" a="1"/>
  <c r="L18" i="1" a="1"/>
  <c r="M19" i="1" a="1"/>
  <c r="K16" i="1" a="1"/>
  <c r="L17" i="1" a="1"/>
  <c r="M18" i="1" a="1"/>
  <c r="K20" i="1" a="1"/>
  <c r="K20" i="1" l="1"/>
  <c r="M18" i="1"/>
  <c r="L17" i="1"/>
  <c r="K16" i="1"/>
  <c r="M19" i="1"/>
  <c r="L18" i="1"/>
  <c r="K17" i="1"/>
  <c r="M15" i="1"/>
  <c r="L19" i="1"/>
  <c r="K18" i="1"/>
  <c r="L15" i="1"/>
  <c r="M17" i="1"/>
  <c r="L14" i="1"/>
  <c r="M16" i="1"/>
  <c r="K19" i="1"/>
  <c r="L16" i="1"/>
  <c r="K21" i="1"/>
  <c r="K22" i="1"/>
  <c r="M21" i="1"/>
  <c r="J22" i="1"/>
  <c r="J18" i="1"/>
  <c r="J21" i="1"/>
  <c r="J17" i="1"/>
  <c r="J16" i="1"/>
  <c r="J15" i="1"/>
  <c r="J20" i="1"/>
  <c r="J19" i="1"/>
  <c r="K10" i="1"/>
  <c r="L7" i="1"/>
  <c r="K6" i="1"/>
  <c r="M4" i="1"/>
  <c r="M9" i="1"/>
  <c r="K7" i="1"/>
  <c r="L4" i="1"/>
  <c r="K8" i="1"/>
  <c r="L5" i="1"/>
  <c r="M7" i="1"/>
  <c r="M8" i="1"/>
  <c r="L3" i="1"/>
  <c r="K11" i="1"/>
  <c r="L8" i="1"/>
  <c r="M5" i="1"/>
  <c r="K12" i="1"/>
  <c r="M6" i="1"/>
  <c r="K9" i="1"/>
  <c r="K5" i="1"/>
  <c r="M11" i="1"/>
  <c r="L6" i="1"/>
  <c r="J8" i="1"/>
  <c r="J12" i="1"/>
  <c r="J11" i="1"/>
  <c r="J7" i="1"/>
  <c r="J10" i="1"/>
  <c r="J6" i="1"/>
  <c r="J5" i="1"/>
  <c r="J9" i="1"/>
  <c r="J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<sst xmlns="http://schemas.openxmlformats.org/spreadsheetml/2006/main" count="216" uniqueCount="64">
  <si>
    <t>8.052920</t>
  </si>
  <si>
    <t>192.168.116.163</t>
  </si>
  <si>
    <t>47.91.72.135</t>
  </si>
  <si>
    <t>8.054486</t>
  </si>
  <si>
    <t>8.054577</t>
  </si>
  <si>
    <t>8.054595</t>
  </si>
  <si>
    <t>9.059161</t>
  </si>
  <si>
    <t>9.061754</t>
  </si>
  <si>
    <t>9.061989</t>
  </si>
  <si>
    <t>9.062149</t>
  </si>
  <si>
    <t>9.063861</t>
  </si>
  <si>
    <t>9.066460</t>
  </si>
  <si>
    <t>9.068281</t>
  </si>
  <si>
    <t>9.068320</t>
  </si>
  <si>
    <t>9.068396</t>
  </si>
  <si>
    <t>9.068443</t>
  </si>
  <si>
    <t>9.072426</t>
  </si>
  <si>
    <t>9.073042</t>
  </si>
  <si>
    <t>9.073071</t>
  </si>
  <si>
    <t>9.074622</t>
  </si>
  <si>
    <t>9.075336</t>
  </si>
  <si>
    <t>Packet #</t>
  </si>
  <si>
    <t>Source IP</t>
  </si>
  <si>
    <t>Target IP</t>
  </si>
  <si>
    <t>e1b09405</t>
  </si>
  <si>
    <t>fefe0001</t>
  </si>
  <si>
    <t>e0b09405</t>
  </si>
  <si>
    <t>e2b09405</t>
  </si>
  <si>
    <t>6f000000</t>
  </si>
  <si>
    <t>3c4e6174…</t>
  </si>
  <si>
    <t>bd010000</t>
  </si>
  <si>
    <t>b1b29405</t>
  </si>
  <si>
    <t>b0b29405</t>
  </si>
  <si>
    <t>b2b29405</t>
  </si>
  <si>
    <t>d2000000</t>
  </si>
  <si>
    <t>d0000000</t>
  </si>
  <si>
    <t>CmdID</t>
  </si>
  <si>
    <t>12520 → 8989</t>
  </si>
  <si>
    <t>Len=28</t>
  </si>
  <si>
    <t>8989 → 12520</t>
  </si>
  <si>
    <t>Len=143</t>
  </si>
  <si>
    <t>Len=477</t>
  </si>
  <si>
    <t>Len=24</t>
  </si>
  <si>
    <t>49954 → 8989</t>
  </si>
  <si>
    <t>8989 → 49954</t>
  </si>
  <si>
    <t>Len=242</t>
  </si>
  <si>
    <t>Len=240</t>
  </si>
  <si>
    <t>Ports</t>
  </si>
  <si>
    <t>Length</t>
  </si>
  <si>
    <t>ConnectionID =</t>
  </si>
  <si>
    <t>ConnID</t>
  </si>
  <si>
    <t>Timestamp</t>
  </si>
  <si>
    <t>Data1/Seq</t>
  </si>
  <si>
    <t>Data2/ConvID</t>
  </si>
  <si>
    <t>Data3</t>
  </si>
  <si>
    <t>Data4</t>
  </si>
  <si>
    <t>Tail</t>
  </si>
  <si>
    <t>Request</t>
  </si>
  <si>
    <t>JS Class</t>
  </si>
  <si>
    <t>Client Ack</t>
  </si>
  <si>
    <t>NAT Ack</t>
  </si>
  <si>
    <t>02000100</t>
  </si>
  <si>
    <t>Data1</t>
  </si>
  <si>
    <t>Data2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</si>
</sst>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ourier New"/>
      <family val="1"/>
    </font>
    <font>
      <sz val="10"/>
      <color theme="1"/>
      <name val="Courier New"/>
      <family val="1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right"/>
    </xf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vertical="top"/>
    </xf>
    <xf numFmtId="0" fontId="3" fillId="2" borderId="0" xfId="0" applyFont="1" applyFill="1"/>
    <xf numFmtId="49" fontId="3" fillId="2" borderId="0" xfId="0" applyNumberFormat="1" applyFont="1" applyFill="1" applyAlignment="1">
      <alignment horizontal="right"/>
    </xf>
    <xf numFmtId="49" fontId="3" fillId="0" borderId="0" xfId="0" applyNumberFormat="1" applyFont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 2013 – 2022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1D58A-BBFC-D640-B9D8-0FA3E7ACBDC2}">
  <sheetPr codeName="Лист1"/>
  <dimension ref="A1:W22"/>
  <sheetViews>
    <sheetView tabSelected="1" zoomScale="110" zoomScaleNormal="110" workbookViewId="0">
      <selection activeCell="A13" sqref="A13"/>
    </sheetView>
  </sheetViews>
  <sheetFormatPr baseColWidth="10" defaultRowHeight="16" x14ac:dyDescent="0.2"/>
  <cols>
    <col min="1" max="1" width="8" customWidth="1"/>
    <col min="2" max="2" width="10.5" customWidth="1"/>
    <col min="3" max="4" width="17.1640625" bestFit="1" customWidth="1"/>
    <col min="5" max="5" width="13.1640625" bestFit="1" customWidth="1"/>
    <col min="6" max="6" width="8" bestFit="1" customWidth="1"/>
    <col min="7" max="7" width="19" customWidth="1"/>
    <col min="8" max="14" width="10.6640625" bestFit="1" customWidth="1"/>
    <col min="15" max="15" width="26.5" customWidth="1"/>
    <col min="16" max="23" width="10.6640625" customWidth="1"/>
  </cols>
  <sheetData>
    <row r="1" spans="1:23" s="1" customFormat="1" ht="35" thickBot="1" x14ac:dyDescent="0.25">
      <c r="A1" s="2" t="s">
        <v>21</v>
      </c>
      <c r="B1" s="2" t="s">
        <v>51</v>
      </c>
      <c r="C1" s="2" t="s">
        <v>22</v>
      </c>
      <c r="D1" s="2" t="s">
        <v>23</v>
      </c>
      <c r="E1" s="2" t="s">
        <v>47</v>
      </c>
      <c r="F1" s="2" t="s">
        <v>48</v>
      </c>
      <c r="G1" s="2" t="s">
        <v>58</v>
      </c>
      <c r="H1" s="3" t="s">
        <v>36</v>
      </c>
      <c r="I1" s="2" t="s">
        <v>50</v>
      </c>
      <c r="J1" s="2" t="s">
        <v>62</v>
      </c>
      <c r="K1" s="2" t="s">
        <v>63</v>
      </c>
      <c r="L1" s="2" t="s">
        <v>54</v>
      </c>
      <c r="M1" s="2" t="s">
        <v>55</v>
      </c>
      <c r="N1" s="2" t="s">
        <v>56</v>
      </c>
      <c r="P1" s="3" t="s">
        <v>36</v>
      </c>
      <c r="Q1" s="3" t="s">
        <v>50</v>
      </c>
      <c r="R1" s="8" t="s">
        <v>52</v>
      </c>
      <c r="S1" s="9" t="s">
        <v>53</v>
      </c>
      <c r="T1" s="8" t="s">
        <v>54</v>
      </c>
      <c r="U1" s="8" t="s">
        <v>55</v>
      </c>
      <c r="V1" s="8" t="s">
        <v>56</v>
      </c>
      <c r="W1" s="10" t="s">
        <v>57</v>
      </c>
    </row>
    <row r="2" spans="1:23" s="1" customFormat="1" x14ac:dyDescent="0.2">
      <c r="A2" s="18" t="s">
        <v>49</v>
      </c>
      <c r="B2" s="4"/>
      <c r="C2" s="4">
        <f>I3</f>
        <v>93630689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4"/>
      <c r="S2" s="4"/>
      <c r="T2" s="4"/>
      <c r="U2" s="4"/>
      <c r="V2" s="4"/>
      <c r="W2" s="4"/>
    </row>
    <row r="3" spans="1:23" x14ac:dyDescent="0.2">
      <c r="A3" s="14">
        <v>1931</v>
      </c>
      <c r="B3" s="15" t="s">
        <v>0</v>
      </c>
      <c r="C3" s="14" t="s">
        <v>1</v>
      </c>
      <c r="D3" s="14" t="s">
        <v>2</v>
      </c>
      <c r="E3" s="14" t="s">
        <v>37</v>
      </c>
      <c r="F3" s="14" t="s">
        <v>38</v>
      </c>
      <c r="G3" s="14" t="s">
        <v>59</v>
      </c>
      <c r="H3" s="11" t="str" cm="1">
        <f t="array" ref="H3">Reverse(P3)</f>
        <v>00010002</v>
      </c>
      <c r="I3" s="11" cm="1">
        <f t="array" ref="I3">HEX2DEC(Reverse(Q3))</f>
        <v>93630689</v>
      </c>
      <c r="J3" s="11"/>
      <c r="K3" s="11"/>
      <c r="L3" s="11" cm="1">
        <f t="array" ref="L3">HEX2DEC(Reverse(T3))-$C$2</f>
        <v>0</v>
      </c>
      <c r="M3" s="11"/>
      <c r="N3" s="11" t="str" cm="1">
        <f t="array" ref="N3">Reverse(V3)</f>
        <v>0100FEFE</v>
      </c>
      <c r="O3" s="6"/>
      <c r="P3" s="12" t="s">
        <v>61</v>
      </c>
      <c r="Q3" s="12" t="s">
        <v>24</v>
      </c>
      <c r="R3" s="12">
        <v>0</v>
      </c>
      <c r="S3" s="12">
        <v>0</v>
      </c>
      <c r="T3" s="12" t="s">
        <v>24</v>
      </c>
      <c r="U3" s="12">
        <v>0</v>
      </c>
      <c r="V3" s="12" t="s">
        <v>25</v>
      </c>
      <c r="W3" s="13"/>
    </row>
    <row r="4" spans="1:23" x14ac:dyDescent="0.2">
      <c r="A4" s="16">
        <v>1988</v>
      </c>
      <c r="B4" s="17" t="s">
        <v>3</v>
      </c>
      <c r="C4" s="16" t="s">
        <v>2</v>
      </c>
      <c r="D4" s="16" t="s">
        <v>1</v>
      </c>
      <c r="E4" s="16" t="s">
        <v>39</v>
      </c>
      <c r="F4" s="16" t="s">
        <v>38</v>
      </c>
      <c r="G4" s="16" t="s">
        <v>60</v>
      </c>
      <c r="H4" s="6" t="str" cm="1">
        <f t="array" ref="H4">Reverse(P4)</f>
        <v>00010002</v>
      </c>
      <c r="I4" s="6" cm="1">
        <f t="array" ref="I4">HEX2DEC(Reverse(Q4))</f>
        <v>93630689</v>
      </c>
      <c r="J4" s="6" cm="1">
        <f t="array" ref="J4">HEX2DEC(Reverse(R4))-$C$2</f>
        <v>-1</v>
      </c>
      <c r="K4" s="6"/>
      <c r="L4" s="6" cm="1">
        <f t="array" ref="L4">HEX2DEC(Reverse(T4))-$C$2</f>
        <v>0</v>
      </c>
      <c r="M4" s="6" cm="1">
        <f t="array" ref="M4">HEX2DEC(Reverse(U4))-$C$2</f>
        <v>0</v>
      </c>
      <c r="N4" s="6" t="str" cm="1">
        <f t="array" ref="N4">Reverse(V4)</f>
        <v>0100FEFE</v>
      </c>
      <c r="O4" s="6"/>
      <c r="P4" s="13" t="s">
        <v>61</v>
      </c>
      <c r="Q4" s="13" t="s">
        <v>24</v>
      </c>
      <c r="R4" s="13" t="s">
        <v>26</v>
      </c>
      <c r="S4" s="13">
        <v>0</v>
      </c>
      <c r="T4" s="13" t="s">
        <v>24</v>
      </c>
      <c r="U4" s="13" t="s">
        <v>24</v>
      </c>
      <c r="V4" s="13" t="s">
        <v>25</v>
      </c>
      <c r="W4" s="13"/>
    </row>
    <row r="5" spans="1:23" x14ac:dyDescent="0.2">
      <c r="A5" s="14">
        <v>1992</v>
      </c>
      <c r="B5" s="15" t="s">
        <v>4</v>
      </c>
      <c r="C5" s="14" t="s">
        <v>1</v>
      </c>
      <c r="D5" s="14" t="s">
        <v>2</v>
      </c>
      <c r="E5" s="14" t="s">
        <v>37</v>
      </c>
      <c r="F5" s="14" t="s">
        <v>38</v>
      </c>
      <c r="G5" s="14"/>
      <c r="H5" s="11" t="str" cm="1">
        <f t="array" ref="H5">Reverse(P5)</f>
        <v>00010002</v>
      </c>
      <c r="I5" s="11" cm="1">
        <f t="array" ref="I5">HEX2DEC(Reverse(Q5))</f>
        <v>93630689</v>
      </c>
      <c r="J5" s="11" cm="1">
        <f t="array" ref="J5">HEX2DEC(Reverse(R5))-$C$2</f>
        <v>-1</v>
      </c>
      <c r="K5" s="11" cm="1">
        <f t="array" ref="K5">HEX2DEC(Reverse(S5))-$C$2</f>
        <v>-1</v>
      </c>
      <c r="L5" s="11" cm="1">
        <f t="array" ref="L5">HEX2DEC(Reverse(T5))-$C$2</f>
        <v>0</v>
      </c>
      <c r="M5" s="11" cm="1">
        <f t="array" ref="M5">HEX2DEC(Reverse(U5))-$C$2</f>
        <v>1</v>
      </c>
      <c r="N5" s="11" t="str" cm="1">
        <f t="array" ref="N5">Reverse(V5)</f>
        <v>0100FEFE</v>
      </c>
      <c r="O5" s="6"/>
      <c r="P5" s="12">
        <v>2000100</v>
      </c>
      <c r="Q5" s="12" t="s">
        <v>24</v>
      </c>
      <c r="R5" s="12" t="s">
        <v>26</v>
      </c>
      <c r="S5" s="12" t="s">
        <v>26</v>
      </c>
      <c r="T5" s="12" t="s">
        <v>24</v>
      </c>
      <c r="U5" s="12" t="s">
        <v>27</v>
      </c>
      <c r="V5" s="12" t="s">
        <v>25</v>
      </c>
      <c r="W5" s="13"/>
    </row>
    <row r="6" spans="1:23" x14ac:dyDescent="0.2">
      <c r="A6" s="14">
        <v>1993</v>
      </c>
      <c r="B6" s="15" t="s">
        <v>5</v>
      </c>
      <c r="C6" s="14" t="s">
        <v>1</v>
      </c>
      <c r="D6" s="14" t="s">
        <v>2</v>
      </c>
      <c r="E6" s="14" t="s">
        <v>37</v>
      </c>
      <c r="F6" s="14" t="s">
        <v>40</v>
      </c>
      <c r="G6" s="14"/>
      <c r="H6" s="11" t="str" cm="1">
        <f t="array" ref="H6">Reverse(P6)</f>
        <v>00010102</v>
      </c>
      <c r="I6" s="11" cm="1">
        <f t="array" ref="I6">HEX2DEC(Reverse(Q6))</f>
        <v>93630689</v>
      </c>
      <c r="J6" s="11" cm="1">
        <f t="array" ref="J6">HEX2DEC(Reverse(R6))-$C$2</f>
        <v>0</v>
      </c>
      <c r="K6" s="11" cm="1">
        <f t="array" ref="K6">HEX2DEC(Reverse(S6))-$C$2</f>
        <v>-1</v>
      </c>
      <c r="L6" s="11" cm="1">
        <f t="array" ref="L6">HEX2DEC(Reverse(T6))-$C$2</f>
        <v>1</v>
      </c>
      <c r="M6" s="11" cm="1">
        <f t="array" ref="M6">HEX2DEC(Reverse(U6))-$C$2</f>
        <v>0</v>
      </c>
      <c r="N6" s="11" t="str" cm="1">
        <f t="array" ref="N6">Reverse(V6)</f>
        <v>00000100</v>
      </c>
      <c r="O6" s="6" t="s">
        <v>29</v>
      </c>
      <c r="P6" s="13">
        <v>2010100</v>
      </c>
      <c r="Q6" s="13" t="s">
        <v>24</v>
      </c>
      <c r="R6" s="13" t="s">
        <v>24</v>
      </c>
      <c r="S6" s="13" t="s">
        <v>26</v>
      </c>
      <c r="T6" s="13" t="s">
        <v>27</v>
      </c>
      <c r="U6" s="13" t="s">
        <v>24</v>
      </c>
      <c r="V6" s="13">
        <v>10000</v>
      </c>
      <c r="W6" s="13" t="s">
        <v>28</v>
      </c>
    </row>
    <row r="7" spans="1:23" x14ac:dyDescent="0.2">
      <c r="A7" s="14">
        <v>2148</v>
      </c>
      <c r="B7" s="15" t="s">
        <v>6</v>
      </c>
      <c r="C7" s="14" t="s">
        <v>1</v>
      </c>
      <c r="D7" s="14" t="s">
        <v>2</v>
      </c>
      <c r="E7" s="14" t="s">
        <v>37</v>
      </c>
      <c r="F7" s="14" t="s">
        <v>40</v>
      </c>
      <c r="G7" s="14"/>
      <c r="H7" s="11" t="str" cm="1">
        <f t="array" ref="H7">Reverse(P7)</f>
        <v>00010102</v>
      </c>
      <c r="I7" s="11" cm="1">
        <f t="array" ref="I7">HEX2DEC(Reverse(Q7))</f>
        <v>93630689</v>
      </c>
      <c r="J7" s="11" cm="1">
        <f t="array" ref="J7">HEX2DEC(Reverse(R7))-$C$2</f>
        <v>1</v>
      </c>
      <c r="K7" s="11" cm="1">
        <f t="array" ref="K7">HEX2DEC(Reverse(S7))-$C$2</f>
        <v>-1</v>
      </c>
      <c r="L7" s="11" cm="1">
        <f t="array" ref="L7">HEX2DEC(Reverse(T7))-$C$2</f>
        <v>1</v>
      </c>
      <c r="M7" s="11" cm="1">
        <f t="array" ref="M7">HEX2DEC(Reverse(U7))-$C$2</f>
        <v>0</v>
      </c>
      <c r="N7" s="11" t="str" cm="1">
        <f t="array" ref="N7">Reverse(V7)</f>
        <v>00000100</v>
      </c>
      <c r="O7" s="6" t="s">
        <v>29</v>
      </c>
      <c r="P7" s="13">
        <v>2010100</v>
      </c>
      <c r="Q7" s="13" t="s">
        <v>24</v>
      </c>
      <c r="R7" s="13" t="s">
        <v>27</v>
      </c>
      <c r="S7" s="13" t="s">
        <v>26</v>
      </c>
      <c r="T7" s="13" t="s">
        <v>27</v>
      </c>
      <c r="U7" s="13" t="s">
        <v>24</v>
      </c>
      <c r="V7" s="13">
        <v>10000</v>
      </c>
      <c r="W7" s="13" t="s">
        <v>28</v>
      </c>
    </row>
    <row r="8" spans="1:23" x14ac:dyDescent="0.2">
      <c r="A8" s="16">
        <v>2186</v>
      </c>
      <c r="B8" s="17" t="s">
        <v>7</v>
      </c>
      <c r="C8" s="16" t="s">
        <v>2</v>
      </c>
      <c r="D8" s="16" t="s">
        <v>1</v>
      </c>
      <c r="E8" s="16" t="s">
        <v>39</v>
      </c>
      <c r="F8" s="16" t="s">
        <v>41</v>
      </c>
      <c r="G8" s="16"/>
      <c r="H8" s="6" t="str" cm="1">
        <f t="array" ref="H8">Reverse(P8)</f>
        <v>00010102</v>
      </c>
      <c r="I8" s="6" cm="1">
        <f t="array" ref="I8">HEX2DEC(Reverse(Q8))</f>
        <v>93630689</v>
      </c>
      <c r="J8" s="6" cm="1">
        <f t="array" ref="J8">HEX2DEC(Reverse(R8))-$C$2</f>
        <v>0</v>
      </c>
      <c r="K8" s="6" cm="1">
        <f t="array" ref="K8">HEX2DEC(Reverse(S8))-$C$2</f>
        <v>0</v>
      </c>
      <c r="L8" s="6" cm="1">
        <f t="array" ref="L8">HEX2DEC(Reverse(T8))-$C$2</f>
        <v>1</v>
      </c>
      <c r="M8" s="6" cm="1">
        <f t="array" ref="M8">HEX2DEC(Reverse(U8))-$C$2</f>
        <v>1</v>
      </c>
      <c r="N8" s="6" t="str" cm="1">
        <f t="array" ref="N8">Reverse(V8)</f>
        <v>00000100</v>
      </c>
      <c r="O8" s="6" t="s">
        <v>29</v>
      </c>
      <c r="P8" s="13">
        <v>2010100</v>
      </c>
      <c r="Q8" s="13" t="s">
        <v>24</v>
      </c>
      <c r="R8" s="13" t="s">
        <v>24</v>
      </c>
      <c r="S8" s="13" t="s">
        <v>24</v>
      </c>
      <c r="T8" s="13" t="s">
        <v>27</v>
      </c>
      <c r="U8" s="13" t="s">
        <v>27</v>
      </c>
      <c r="V8" s="13">
        <v>10000</v>
      </c>
      <c r="W8" s="13" t="s">
        <v>30</v>
      </c>
    </row>
    <row r="9" spans="1:23" x14ac:dyDescent="0.2">
      <c r="A9" s="14">
        <v>2191</v>
      </c>
      <c r="B9" s="15" t="s">
        <v>8</v>
      </c>
      <c r="C9" s="14" t="s">
        <v>1</v>
      </c>
      <c r="D9" s="14" t="s">
        <v>2</v>
      </c>
      <c r="E9" s="14" t="s">
        <v>37</v>
      </c>
      <c r="F9" s="14" t="s">
        <v>42</v>
      </c>
      <c r="G9" s="14"/>
      <c r="H9" s="11" t="str" cm="1">
        <f t="array" ref="H9">Reverse(P9)</f>
        <v>00010202</v>
      </c>
      <c r="I9" s="11" cm="1">
        <f t="array" ref="I9">HEX2DEC(Reverse(Q9))</f>
        <v>93630689</v>
      </c>
      <c r="J9" s="11" cm="1">
        <f t="array" ref="J9">HEX2DEC(Reverse(R9))-$C$2</f>
        <v>1</v>
      </c>
      <c r="K9" s="11" cm="1">
        <f t="array" ref="K9">HEX2DEC(Reverse(S9))-$C$2</f>
        <v>0</v>
      </c>
      <c r="L9" s="11"/>
      <c r="M9" s="11" cm="1">
        <f t="array" ref="M9">HEX2DEC(Reverse(U9))-$C$2</f>
        <v>1</v>
      </c>
      <c r="N9" s="11" t="str" cm="1">
        <f t="array" ref="N9">Reverse(V9)</f>
        <v>00000000</v>
      </c>
      <c r="O9" s="6"/>
      <c r="P9" s="13">
        <v>2020100</v>
      </c>
      <c r="Q9" s="13" t="s">
        <v>24</v>
      </c>
      <c r="R9" s="13" t="s">
        <v>27</v>
      </c>
      <c r="S9" s="13" t="s">
        <v>24</v>
      </c>
      <c r="T9" s="13">
        <v>0</v>
      </c>
      <c r="U9" s="13" t="s">
        <v>27</v>
      </c>
      <c r="V9" s="13"/>
      <c r="W9" s="13"/>
    </row>
    <row r="10" spans="1:23" x14ac:dyDescent="0.2">
      <c r="A10" s="14">
        <v>2226</v>
      </c>
      <c r="B10" s="15" t="s">
        <v>10</v>
      </c>
      <c r="C10" s="14" t="s">
        <v>1</v>
      </c>
      <c r="D10" s="14" t="s">
        <v>2</v>
      </c>
      <c r="E10" s="14" t="s">
        <v>37</v>
      </c>
      <c r="F10" s="14" t="s">
        <v>42</v>
      </c>
      <c r="G10" s="14"/>
      <c r="H10" s="11" t="str" cm="1">
        <f t="array" ref="H10">Reverse(P10)</f>
        <v>00010302</v>
      </c>
      <c r="I10" s="11" cm="1">
        <f t="array" ref="I10">HEX2DEC(Reverse(Q10))</f>
        <v>93630689</v>
      </c>
      <c r="J10" s="11" cm="1">
        <f t="array" ref="J10">HEX2DEC(Reverse(R10))-$C$2</f>
        <v>1</v>
      </c>
      <c r="K10" s="11" cm="1">
        <f t="array" ref="K10">HEX2DEC(Reverse(S10))-$C$2</f>
        <v>0</v>
      </c>
      <c r="L10" s="11"/>
      <c r="M10" s="11"/>
      <c r="N10" s="11" t="str" cm="1">
        <f t="array" ref="N10">Reverse(V10)</f>
        <v>00000000</v>
      </c>
      <c r="O10" s="6"/>
      <c r="P10" s="13">
        <v>2030100</v>
      </c>
      <c r="Q10" s="13" t="s">
        <v>24</v>
      </c>
      <c r="R10" s="13" t="s">
        <v>27</v>
      </c>
      <c r="S10" s="13" t="s">
        <v>24</v>
      </c>
      <c r="T10" s="13">
        <v>0</v>
      </c>
      <c r="U10" s="13">
        <v>0</v>
      </c>
      <c r="V10" s="13"/>
      <c r="W10" s="13"/>
    </row>
    <row r="11" spans="1:23" x14ac:dyDescent="0.2">
      <c r="A11" s="16">
        <v>2278</v>
      </c>
      <c r="B11" s="17" t="s">
        <v>11</v>
      </c>
      <c r="C11" s="16" t="s">
        <v>2</v>
      </c>
      <c r="D11" s="16" t="s">
        <v>1</v>
      </c>
      <c r="E11" s="16" t="s">
        <v>39</v>
      </c>
      <c r="F11" s="16" t="s">
        <v>42</v>
      </c>
      <c r="G11" s="16"/>
      <c r="H11" s="6" t="str" cm="1">
        <f t="array" ref="H11">Reverse(P11)</f>
        <v>00010202</v>
      </c>
      <c r="I11" s="6" cm="1">
        <f t="array" ref="I11">HEX2DEC(Reverse(Q11))</f>
        <v>93630689</v>
      </c>
      <c r="J11" s="6" cm="1">
        <f t="array" ref="J11">HEX2DEC(Reverse(R11))-$C$2</f>
        <v>0</v>
      </c>
      <c r="K11" s="6" cm="1">
        <f t="array" ref="K11">HEX2DEC(Reverse(S11))-$C$2</f>
        <v>1</v>
      </c>
      <c r="L11" s="6"/>
      <c r="M11" s="6" cm="1">
        <f t="array" ref="M11">HEX2DEC(Reverse(U11))-$C$2</f>
        <v>1</v>
      </c>
      <c r="N11" s="6" t="str" cm="1">
        <f t="array" ref="N11">Reverse(V11)</f>
        <v>00000000</v>
      </c>
      <c r="O11" s="6"/>
      <c r="P11" s="13">
        <v>2020100</v>
      </c>
      <c r="Q11" s="13" t="s">
        <v>24</v>
      </c>
      <c r="R11" s="13" t="s">
        <v>24</v>
      </c>
      <c r="S11" s="13" t="s">
        <v>27</v>
      </c>
      <c r="T11" s="13">
        <v>0</v>
      </c>
      <c r="U11" s="13" t="s">
        <v>27</v>
      </c>
      <c r="V11" s="13"/>
      <c r="W11" s="13"/>
    </row>
    <row r="12" spans="1:23" x14ac:dyDescent="0.2">
      <c r="A12" s="16">
        <v>2317</v>
      </c>
      <c r="B12" s="17" t="s">
        <v>13</v>
      </c>
      <c r="C12" s="16" t="s">
        <v>2</v>
      </c>
      <c r="D12" s="16" t="s">
        <v>1</v>
      </c>
      <c r="E12" s="16" t="s">
        <v>39</v>
      </c>
      <c r="F12" s="16" t="s">
        <v>42</v>
      </c>
      <c r="G12" s="16"/>
      <c r="H12" s="6" t="str" cm="1">
        <f t="array" ref="H12">Reverse(P12)</f>
        <v>00010302</v>
      </c>
      <c r="I12" s="6" cm="1">
        <f t="array" ref="I12">HEX2DEC(Reverse(Q12))</f>
        <v>93630689</v>
      </c>
      <c r="J12" s="6" cm="1">
        <f t="array" ref="J12">HEX2DEC(Reverse(R12))-$C$2</f>
        <v>0</v>
      </c>
      <c r="K12" s="6" cm="1">
        <f t="array" ref="K12">HEX2DEC(Reverse(S12))-$C$2</f>
        <v>1</v>
      </c>
      <c r="L12" s="6"/>
      <c r="M12" s="6"/>
      <c r="N12" s="6" t="str" cm="1">
        <f t="array" ref="N12">Reverse(V12)</f>
        <v>00000000</v>
      </c>
      <c r="O12" s="6"/>
      <c r="P12" s="13">
        <v>2030100</v>
      </c>
      <c r="Q12" s="13" t="s">
        <v>24</v>
      </c>
      <c r="R12" s="13" t="s">
        <v>24</v>
      </c>
      <c r="S12" s="13" t="s">
        <v>27</v>
      </c>
      <c r="T12" s="13">
        <v>0</v>
      </c>
      <c r="U12" s="13">
        <v>0</v>
      </c>
      <c r="V12" s="13"/>
      <c r="W12" s="13"/>
    </row>
    <row r="13" spans="1:23" x14ac:dyDescent="0.2">
      <c r="A13" s="18" t="str">
        <f>A2</f>
        <v>ConnectionID =</v>
      </c>
      <c r="B13" s="7"/>
      <c r="C13" s="4">
        <f>I14</f>
        <v>93631153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13"/>
      <c r="Q13" s="13"/>
      <c r="R13" s="13"/>
      <c r="S13" s="13"/>
      <c r="T13" s="13"/>
      <c r="U13" s="13"/>
      <c r="V13" s="13"/>
      <c r="W13" s="13"/>
    </row>
    <row r="14" spans="1:23" x14ac:dyDescent="0.2">
      <c r="A14" s="14">
        <v>2193</v>
      </c>
      <c r="B14" s="15" t="s">
        <v>9</v>
      </c>
      <c r="C14" s="14" t="s">
        <v>1</v>
      </c>
      <c r="D14" s="14" t="s">
        <v>2</v>
      </c>
      <c r="E14" s="14" t="s">
        <v>43</v>
      </c>
      <c r="F14" s="14" t="s">
        <v>38</v>
      </c>
      <c r="G14" s="14"/>
      <c r="H14" s="11" t="str" cm="1">
        <f t="array" ref="H14">Reverse(P14)</f>
        <v>00010002</v>
      </c>
      <c r="I14" s="11" cm="1">
        <f t="array" ref="I14">HEX2DEC(Reverse(Q14))</f>
        <v>93631153</v>
      </c>
      <c r="J14" s="11"/>
      <c r="K14" s="11"/>
      <c r="L14" s="11" cm="1">
        <f t="array" ref="L14">HEX2DEC(Reverse(T14))-$C$13</f>
        <v>0</v>
      </c>
      <c r="M14" s="11"/>
      <c r="N14" s="11" t="str" cm="1">
        <f t="array" ref="N14">Reverse(V14)</f>
        <v>0100FEFE</v>
      </c>
      <c r="O14" s="6"/>
      <c r="P14" s="12">
        <v>2000100</v>
      </c>
      <c r="Q14" s="12" t="s">
        <v>31</v>
      </c>
      <c r="R14" s="12">
        <v>0</v>
      </c>
      <c r="S14" s="12">
        <v>0</v>
      </c>
      <c r="T14" s="12" t="s">
        <v>31</v>
      </c>
      <c r="U14" s="12">
        <v>0</v>
      </c>
      <c r="V14" s="12" t="s">
        <v>25</v>
      </c>
      <c r="W14" s="13"/>
    </row>
    <row r="15" spans="1:23" x14ac:dyDescent="0.2">
      <c r="A15" s="16">
        <v>2316</v>
      </c>
      <c r="B15" s="17" t="s">
        <v>12</v>
      </c>
      <c r="C15" s="16" t="s">
        <v>2</v>
      </c>
      <c r="D15" s="16" t="s">
        <v>1</v>
      </c>
      <c r="E15" s="16" t="s">
        <v>44</v>
      </c>
      <c r="F15" s="16" t="s">
        <v>38</v>
      </c>
      <c r="G15" s="16"/>
      <c r="H15" s="6" t="str" cm="1">
        <f t="array" ref="H15">Reverse(P15)</f>
        <v>00010002</v>
      </c>
      <c r="I15" s="6" cm="1">
        <f t="array" ref="I15">HEX2DEC(Reverse(Q15))</f>
        <v>93631153</v>
      </c>
      <c r="J15" s="6" cm="1">
        <f t="array" ref="J15">HEX2DEC(Reverse(R15))-$C$13</f>
        <v>-1</v>
      </c>
      <c r="K15" s="6"/>
      <c r="L15" s="6" cm="1">
        <f t="array" ref="L15">HEX2DEC(Reverse(T15))-$C$13</f>
        <v>0</v>
      </c>
      <c r="M15" s="6" cm="1">
        <f t="array" ref="M15">HEX2DEC(Reverse(U15))-$C$13</f>
        <v>0</v>
      </c>
      <c r="N15" s="6" t="str" cm="1">
        <f t="array" ref="N15">Reverse(V15)</f>
        <v>0100FEFE</v>
      </c>
      <c r="O15" s="6"/>
      <c r="P15" s="13">
        <v>2000100</v>
      </c>
      <c r="Q15" s="13" t="s">
        <v>31</v>
      </c>
      <c r="R15" s="13" t="s">
        <v>32</v>
      </c>
      <c r="S15" s="13">
        <v>0</v>
      </c>
      <c r="T15" s="13" t="s">
        <v>31</v>
      </c>
      <c r="U15" s="13" t="s">
        <v>31</v>
      </c>
      <c r="V15" s="13" t="s">
        <v>25</v>
      </c>
      <c r="W15" s="13"/>
    </row>
    <row r="16" spans="1:23" x14ac:dyDescent="0.2">
      <c r="A16" s="14">
        <v>2319</v>
      </c>
      <c r="B16" s="15" t="s">
        <v>14</v>
      </c>
      <c r="C16" s="14" t="s">
        <v>1</v>
      </c>
      <c r="D16" s="14" t="s">
        <v>2</v>
      </c>
      <c r="E16" s="14" t="s">
        <v>43</v>
      </c>
      <c r="F16" s="14" t="s">
        <v>38</v>
      </c>
      <c r="G16" s="14"/>
      <c r="H16" s="11" t="str" cm="1">
        <f t="array" ref="H16">Reverse(P16)</f>
        <v>00010002</v>
      </c>
      <c r="I16" s="11" cm="1">
        <f t="array" ref="I16">HEX2DEC(Reverse(Q16))</f>
        <v>93631153</v>
      </c>
      <c r="J16" s="11" cm="1">
        <f t="array" ref="J16">HEX2DEC(Reverse(R16))-$C$13</f>
        <v>-1</v>
      </c>
      <c r="K16" s="11" cm="1">
        <f t="array" ref="K16">HEX2DEC(Reverse(S16))-$C$13</f>
        <v>-1</v>
      </c>
      <c r="L16" s="11" cm="1">
        <f t="array" ref="L16">HEX2DEC(Reverse(T16))-$C$13</f>
        <v>0</v>
      </c>
      <c r="M16" s="11" cm="1">
        <f t="array" ref="M16">HEX2DEC(Reverse(U16))-$C$13</f>
        <v>1</v>
      </c>
      <c r="N16" s="11" t="str" cm="1">
        <f t="array" ref="N16">Reverse(V16)</f>
        <v>0100FEFE</v>
      </c>
      <c r="O16" s="6"/>
      <c r="P16" s="12">
        <v>2000100</v>
      </c>
      <c r="Q16" s="12" t="s">
        <v>31</v>
      </c>
      <c r="R16" s="12" t="s">
        <v>32</v>
      </c>
      <c r="S16" s="12" t="s">
        <v>32</v>
      </c>
      <c r="T16" s="12" t="s">
        <v>31</v>
      </c>
      <c r="U16" s="12" t="s">
        <v>33</v>
      </c>
      <c r="V16" s="12" t="s">
        <v>25</v>
      </c>
      <c r="W16" s="13"/>
    </row>
    <row r="17" spans="1:23" x14ac:dyDescent="0.2">
      <c r="A17" s="14">
        <v>2320</v>
      </c>
      <c r="B17" s="15" t="s">
        <v>15</v>
      </c>
      <c r="C17" s="14" t="s">
        <v>1</v>
      </c>
      <c r="D17" s="14" t="s">
        <v>2</v>
      </c>
      <c r="E17" s="14" t="s">
        <v>43</v>
      </c>
      <c r="F17" s="14" t="s">
        <v>45</v>
      </c>
      <c r="G17" s="14"/>
      <c r="H17" s="11" t="str" cm="1">
        <f t="array" ref="H17">Reverse(P17)</f>
        <v>00010102</v>
      </c>
      <c r="I17" s="11" cm="1">
        <f t="array" ref="I17">HEX2DEC(Reverse(Q17))</f>
        <v>93631153</v>
      </c>
      <c r="J17" s="11" cm="1">
        <f t="array" ref="J17">HEX2DEC(Reverse(R17))-$C$13</f>
        <v>0</v>
      </c>
      <c r="K17" s="11" cm="1">
        <f t="array" ref="K17">HEX2DEC(Reverse(S17))-$C$13</f>
        <v>-1</v>
      </c>
      <c r="L17" s="11" cm="1">
        <f t="array" ref="L17">HEX2DEC(Reverse(T17))-$C$13</f>
        <v>1</v>
      </c>
      <c r="M17" s="11" cm="1">
        <f t="array" ref="M17">HEX2DEC(Reverse(U17))-$C$13</f>
        <v>0</v>
      </c>
      <c r="N17" s="11" t="str" cm="1">
        <f t="array" ref="N17">Reverse(V17)</f>
        <v>00000100</v>
      </c>
      <c r="O17" s="6" t="s">
        <v>29</v>
      </c>
      <c r="P17" s="13">
        <v>2010100</v>
      </c>
      <c r="Q17" s="13" t="s">
        <v>31</v>
      </c>
      <c r="R17" s="13" t="s">
        <v>31</v>
      </c>
      <c r="S17" s="13" t="s">
        <v>32</v>
      </c>
      <c r="T17" s="13" t="s">
        <v>33</v>
      </c>
      <c r="U17" s="13" t="s">
        <v>31</v>
      </c>
      <c r="V17" s="13">
        <v>10000</v>
      </c>
      <c r="W17" s="13" t="s">
        <v>34</v>
      </c>
    </row>
    <row r="18" spans="1:23" x14ac:dyDescent="0.2">
      <c r="A18" s="14">
        <v>2433</v>
      </c>
      <c r="B18" s="15" t="s">
        <v>16</v>
      </c>
      <c r="C18" s="14" t="s">
        <v>1</v>
      </c>
      <c r="D18" s="14" t="s">
        <v>2</v>
      </c>
      <c r="E18" s="14" t="s">
        <v>43</v>
      </c>
      <c r="F18" s="14" t="s">
        <v>45</v>
      </c>
      <c r="G18" s="14"/>
      <c r="H18" s="11" t="str" cm="1">
        <f t="array" ref="H18">Reverse(P18)</f>
        <v>00010102</v>
      </c>
      <c r="I18" s="11" cm="1">
        <f t="array" ref="I18">HEX2DEC(Reverse(Q18))</f>
        <v>93631153</v>
      </c>
      <c r="J18" s="11" cm="1">
        <f t="array" ref="J18">HEX2DEC(Reverse(R18))-$C$13</f>
        <v>1</v>
      </c>
      <c r="K18" s="11" cm="1">
        <f t="array" ref="K18">HEX2DEC(Reverse(S18))-$C$13</f>
        <v>-1</v>
      </c>
      <c r="L18" s="11" cm="1">
        <f t="array" ref="L18">HEX2DEC(Reverse(T18))-$C$13</f>
        <v>1</v>
      </c>
      <c r="M18" s="11" cm="1">
        <f t="array" ref="M18">HEX2DEC(Reverse(U18))-$C$13</f>
        <v>0</v>
      </c>
      <c r="N18" s="11" t="str" cm="1">
        <f t="array" ref="N18">Reverse(V18)</f>
        <v>00000100</v>
      </c>
      <c r="O18" s="6" t="s">
        <v>29</v>
      </c>
      <c r="P18" s="13">
        <v>2010100</v>
      </c>
      <c r="Q18" s="13" t="s">
        <v>31</v>
      </c>
      <c r="R18" s="13" t="s">
        <v>33</v>
      </c>
      <c r="S18" s="13" t="s">
        <v>32</v>
      </c>
      <c r="T18" s="13" t="s">
        <v>33</v>
      </c>
      <c r="U18" s="13" t="s">
        <v>31</v>
      </c>
      <c r="V18" s="13">
        <v>10000</v>
      </c>
      <c r="W18" s="13" t="s">
        <v>34</v>
      </c>
    </row>
    <row r="19" spans="1:23" x14ac:dyDescent="0.2">
      <c r="A19" s="16">
        <v>2451</v>
      </c>
      <c r="B19" s="17" t="s">
        <v>17</v>
      </c>
      <c r="C19" s="16" t="s">
        <v>2</v>
      </c>
      <c r="D19" s="16" t="s">
        <v>1</v>
      </c>
      <c r="E19" s="16" t="s">
        <v>44</v>
      </c>
      <c r="F19" s="16" t="s">
        <v>46</v>
      </c>
      <c r="G19" s="16"/>
      <c r="H19" s="6" t="str" cm="1">
        <f t="array" ref="H19">Reverse(P19)</f>
        <v>00010102</v>
      </c>
      <c r="I19" s="6" cm="1">
        <f t="array" ref="I19">HEX2DEC(Reverse(Q19))</f>
        <v>93631153</v>
      </c>
      <c r="J19" s="6" cm="1">
        <f t="array" ref="J19">HEX2DEC(Reverse(R19))-$C$13</f>
        <v>0</v>
      </c>
      <c r="K19" s="6" cm="1">
        <f t="array" ref="K19">HEX2DEC(Reverse(S19))-$C$13</f>
        <v>0</v>
      </c>
      <c r="L19" s="6" cm="1">
        <f t="array" ref="L19">HEX2DEC(Reverse(T19))-$C$13</f>
        <v>1</v>
      </c>
      <c r="M19" s="6" cm="1">
        <f t="array" ref="M19">HEX2DEC(Reverse(U19))-$C$13</f>
        <v>1</v>
      </c>
      <c r="N19" s="6" t="str" cm="1">
        <f t="array" ref="N19">Reverse(V19)</f>
        <v>00000100</v>
      </c>
      <c r="O19" s="6" t="s">
        <v>29</v>
      </c>
      <c r="P19" s="13">
        <v>2010100</v>
      </c>
      <c r="Q19" s="13" t="s">
        <v>31</v>
      </c>
      <c r="R19" s="13" t="s">
        <v>31</v>
      </c>
      <c r="S19" s="13" t="s">
        <v>31</v>
      </c>
      <c r="T19" s="13" t="s">
        <v>33</v>
      </c>
      <c r="U19" s="13" t="s">
        <v>33</v>
      </c>
      <c r="V19" s="13">
        <v>10000</v>
      </c>
      <c r="W19" s="13" t="s">
        <v>35</v>
      </c>
    </row>
    <row r="20" spans="1:23" x14ac:dyDescent="0.2">
      <c r="A20" s="14">
        <v>2452</v>
      </c>
      <c r="B20" s="15" t="s">
        <v>18</v>
      </c>
      <c r="C20" s="14" t="s">
        <v>1</v>
      </c>
      <c r="D20" s="14" t="s">
        <v>2</v>
      </c>
      <c r="E20" s="14" t="s">
        <v>43</v>
      </c>
      <c r="F20" s="14" t="s">
        <v>42</v>
      </c>
      <c r="G20" s="14"/>
      <c r="H20" s="11" t="str" cm="1">
        <f t="array" ref="H20">Reverse(P20)</f>
        <v>00010302</v>
      </c>
      <c r="I20" s="11" cm="1">
        <f t="array" ref="I20">HEX2DEC(Reverse(Q20))</f>
        <v>93631153</v>
      </c>
      <c r="J20" s="11" cm="1">
        <f t="array" ref="J20">HEX2DEC(Reverse(R20))-$C$13</f>
        <v>1</v>
      </c>
      <c r="K20" s="11" cm="1">
        <f t="array" ref="K20">HEX2DEC(Reverse(S20))-$C$13</f>
        <v>0</v>
      </c>
      <c r="L20" s="11"/>
      <c r="M20" s="11"/>
      <c r="N20" s="11" t="str" cm="1">
        <f t="array" ref="N20">Reverse(V20)</f>
        <v>00000000</v>
      </c>
      <c r="O20" s="6"/>
      <c r="P20" s="13">
        <v>2030100</v>
      </c>
      <c r="Q20" s="13" t="s">
        <v>31</v>
      </c>
      <c r="R20" s="13" t="s">
        <v>33</v>
      </c>
      <c r="S20" s="13" t="s">
        <v>31</v>
      </c>
      <c r="T20" s="13">
        <v>0</v>
      </c>
      <c r="U20" s="13">
        <v>0</v>
      </c>
      <c r="V20" s="13"/>
      <c r="W20" s="13"/>
    </row>
    <row r="21" spans="1:23" x14ac:dyDescent="0.2">
      <c r="A21" s="16">
        <v>2491</v>
      </c>
      <c r="B21" s="17" t="s">
        <v>19</v>
      </c>
      <c r="C21" s="16" t="s">
        <v>2</v>
      </c>
      <c r="D21" s="16" t="s">
        <v>1</v>
      </c>
      <c r="E21" s="16" t="s">
        <v>44</v>
      </c>
      <c r="F21" s="16" t="s">
        <v>42</v>
      </c>
      <c r="G21" s="16"/>
      <c r="H21" s="6" t="str" cm="1">
        <f t="array" ref="H21">Reverse(P21)</f>
        <v>00010202</v>
      </c>
      <c r="I21" s="6" cm="1">
        <f t="array" ref="I21">HEX2DEC(Reverse(Q21))</f>
        <v>93631153</v>
      </c>
      <c r="J21" s="6" cm="1">
        <f t="array" ref="J21">HEX2DEC(Reverse(R21))-$C$13</f>
        <v>0</v>
      </c>
      <c r="K21" s="6" cm="1">
        <f t="array" ref="K21">HEX2DEC(Reverse(S21))-$C$13</f>
        <v>1</v>
      </c>
      <c r="L21" s="6"/>
      <c r="M21" s="6" cm="1">
        <f t="array" ref="M21">HEX2DEC(Reverse(U21))-$C$13</f>
        <v>1</v>
      </c>
      <c r="N21" s="6" t="str" cm="1">
        <f t="array" ref="N21">Reverse(V21)</f>
        <v>00000000</v>
      </c>
      <c r="O21" s="6"/>
      <c r="P21" s="13">
        <v>2020100</v>
      </c>
      <c r="Q21" s="13" t="s">
        <v>31</v>
      </c>
      <c r="R21" s="13" t="s">
        <v>31</v>
      </c>
      <c r="S21" s="13" t="s">
        <v>33</v>
      </c>
      <c r="T21" s="13">
        <v>0</v>
      </c>
      <c r="U21" s="13" t="s">
        <v>33</v>
      </c>
      <c r="V21" s="13"/>
      <c r="W21" s="13"/>
    </row>
    <row r="22" spans="1:23" x14ac:dyDescent="0.2">
      <c r="A22" s="16">
        <v>2511</v>
      </c>
      <c r="B22" s="17" t="s">
        <v>20</v>
      </c>
      <c r="C22" s="16" t="s">
        <v>2</v>
      </c>
      <c r="D22" s="16" t="s">
        <v>1</v>
      </c>
      <c r="E22" s="16" t="s">
        <v>44</v>
      </c>
      <c r="F22" s="16" t="s">
        <v>42</v>
      </c>
      <c r="G22" s="16"/>
      <c r="H22" s="6" t="str" cm="1">
        <f t="array" ref="H22">Reverse(P22)</f>
        <v>00010302</v>
      </c>
      <c r="I22" s="6" cm="1">
        <f t="array" ref="I22">HEX2DEC(Reverse(Q22))</f>
        <v>93631153</v>
      </c>
      <c r="J22" s="6" cm="1">
        <f t="array" ref="J22">HEX2DEC(Reverse(R22))-$C$13</f>
        <v>0</v>
      </c>
      <c r="K22" s="6" cm="1">
        <f t="array" ref="K22">HEX2DEC(Reverse(S22))-$C$13</f>
        <v>1</v>
      </c>
      <c r="L22" s="6"/>
      <c r="M22" s="6"/>
      <c r="N22" s="6" t="str" cm="1">
        <f t="array" ref="N22">Reverse(V22)</f>
        <v>00000000</v>
      </c>
      <c r="O22" s="6"/>
      <c r="P22" s="13">
        <v>2030100</v>
      </c>
      <c r="Q22" s="13" t="s">
        <v>31</v>
      </c>
      <c r="R22" s="13" t="s">
        <v>31</v>
      </c>
      <c r="S22" s="13" t="s">
        <v>33</v>
      </c>
      <c r="T22" s="13">
        <v>0</v>
      </c>
      <c r="U22" s="13">
        <v>0</v>
      </c>
      <c r="V22" s="13"/>
      <c r="W22" s="13"/>
    </row>
  </sheetData>
  <sortState xmlns:xlrd2="http://schemas.microsoft.com/office/spreadsheetml/2017/richdata2" ref="A2:W22">
    <sortCondition descending="1" ref="Q3:Q2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2022-12-24T11:48:16Z</dcterms:created>
  <dcterms:modified xsi:type="dcterms:W3CDTF">2023-01-13T02:30:38Z</dcterms:modified>
</cp:coreProperties>
</file>