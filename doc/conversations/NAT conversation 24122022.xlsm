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en/brod-video/doc/conversations/"/>
    </mc:Choice>
  </mc:AlternateContent>
  <xr:revisionPtr revIDLastSave="0" documentId="13_ncr:1_{905CFB33-2925-6A44-8602-33F46934BDB2}" xr6:coauthVersionLast="47" xr6:coauthVersionMax="47" xr10:uidLastSave="{00000000-0000-0000-0000-000000000000}"/>
  <bookViews>
    <workbookView xWindow="3420" yWindow="740" windowWidth="25380" windowHeight="16100" xr2:uid="{6D54EE92-C4A8-824A-8C5D-4E7C28052283}"/>
  </bookViews>
  <sheets>
    <sheet name="Лист1" sheetId="1" r:id="rId1"/>
  </sheets>
  <functionGroups builtInGroupCount="19"/>
  <externalReferences>
    <externalReference r:id="rId2"/>
  </externalReferences>
  <definedNames>
    <definedName name="_xlnm._FilterDatabase" localSheetId="0" hidden="1">Лист1!$A$4:$W$4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 a="1"/>
  <c r="R4" i="1" s="1"/>
  <c r="J1" i="1" a="1"/>
  <c r="J1" i="1" s="1"/>
  <c r="G1" i="1" a="1"/>
  <c r="G1" i="1" s="1"/>
  <c r="M25" i="1" a="1"/>
  <c r="M25" i="1" s="1"/>
  <c r="L25" i="1" a="1"/>
  <c r="L25" i="1" s="1"/>
  <c r="L24" i="1" a="1"/>
  <c r="L24" i="1" s="1"/>
  <c r="M23" i="1" a="1"/>
  <c r="M23" i="1" s="1"/>
  <c r="L23" i="1" a="1"/>
  <c r="L23" i="1" s="1"/>
  <c r="K18" i="1" a="1"/>
  <c r="K18" i="1" s="1"/>
  <c r="M17" i="1" a="1"/>
  <c r="M17" i="1" s="1"/>
  <c r="K17" i="1" a="1"/>
  <c r="K17" i="1" s="1"/>
  <c r="J17" i="1" a="1"/>
  <c r="J17" i="1" s="1"/>
  <c r="M15" i="1" a="1"/>
  <c r="M15" i="1" s="1"/>
  <c r="L15" i="1" a="1"/>
  <c r="L15" i="1" s="1"/>
  <c r="L14" i="1" a="1"/>
  <c r="L14" i="1" s="1"/>
  <c r="M13" i="1" a="1"/>
  <c r="M13" i="1" s="1"/>
  <c r="L13" i="1" a="1"/>
  <c r="L13" i="1" s="1"/>
  <c r="L12" i="1" a="1"/>
  <c r="L12" i="1" s="1"/>
  <c r="K7" i="1" a="1"/>
  <c r="K7" i="1" s="1"/>
  <c r="M6" i="1" a="1"/>
  <c r="M6" i="1" s="1"/>
  <c r="K6" i="1" a="1"/>
  <c r="K6" i="1" s="1"/>
  <c r="J6" i="1" a="1"/>
  <c r="J6" i="1"/>
  <c r="A16" i="1"/>
  <c r="H25" i="1" a="1"/>
  <c r="H21" i="1" a="1"/>
  <c r="H17" i="1" a="1"/>
  <c r="H24" i="1" a="1"/>
  <c r="H20" i="1" a="1"/>
  <c r="H19" i="1" a="1"/>
  <c r="H23" i="1" a="1"/>
  <c r="H22" i="1" a="1"/>
  <c r="H18" i="1" a="1"/>
  <c r="H15" i="1" a="1"/>
  <c r="H11" i="1" a="1"/>
  <c r="H7" i="1" a="1"/>
  <c r="H14" i="1" a="1"/>
  <c r="H10" i="1" a="1"/>
  <c r="H13" i="1" a="1"/>
  <c r="H9" i="1" a="1"/>
  <c r="H8" i="1" a="1"/>
  <c r="H12" i="1" a="1"/>
  <c r="H6" i="1" a="1"/>
  <c r="N21" i="1" a="1"/>
  <c r="N19" i="1" a="1"/>
  <c r="N17" i="1" a="1"/>
  <c r="I25" i="1" a="1"/>
  <c r="I23" i="1" a="1"/>
  <c r="I21" i="1" a="1"/>
  <c r="I19" i="1" a="1"/>
  <c r="I17" i="1" a="1"/>
  <c r="N22" i="1" a="1"/>
  <c r="N20" i="1" a="1"/>
  <c r="N18" i="1" a="1"/>
  <c r="I24" i="1" a="1"/>
  <c r="I22" i="1" a="1"/>
  <c r="I20" i="1" a="1"/>
  <c r="I18" i="1" a="1"/>
  <c r="N11" i="1" a="1"/>
  <c r="N7" i="1" a="1"/>
  <c r="N10" i="1" a="1"/>
  <c r="N9" i="1" a="1"/>
  <c r="N8" i="1" a="1"/>
  <c r="N6" i="1" a="1"/>
  <c r="I11" i="1" a="1"/>
  <c r="I7" i="1" a="1"/>
  <c r="I14" i="1" a="1"/>
  <c r="I10" i="1" a="1"/>
  <c r="I13" i="1" a="1"/>
  <c r="I9" i="1" a="1"/>
  <c r="I8" i="1" a="1"/>
  <c r="I15" i="1" a="1"/>
  <c r="I12" i="1" a="1"/>
  <c r="I6" i="1" a="1"/>
  <c r="H18" i="1" l="1"/>
  <c r="H22" i="1"/>
  <c r="H23" i="1"/>
  <c r="H19" i="1"/>
  <c r="H20" i="1"/>
  <c r="H24" i="1"/>
  <c r="H17" i="1"/>
  <c r="H21" i="1"/>
  <c r="H25" i="1"/>
  <c r="H12" i="1"/>
  <c r="H8" i="1"/>
  <c r="H9" i="1"/>
  <c r="H13" i="1"/>
  <c r="H10" i="1"/>
  <c r="H14" i="1"/>
  <c r="H7" i="1"/>
  <c r="H11" i="1"/>
  <c r="H15" i="1"/>
  <c r="H6" i="1"/>
  <c r="I18" i="1"/>
  <c r="I20" i="1"/>
  <c r="I22" i="1"/>
  <c r="I24" i="1"/>
  <c r="N18" i="1"/>
  <c r="N20" i="1"/>
  <c r="N22" i="1"/>
  <c r="I17" i="1"/>
  <c r="I19" i="1"/>
  <c r="I21" i="1"/>
  <c r="I23" i="1"/>
  <c r="I25" i="1"/>
  <c r="N17" i="1"/>
  <c r="N19" i="1"/>
  <c r="N21" i="1"/>
  <c r="N8" i="1"/>
  <c r="N9" i="1"/>
  <c r="N10" i="1"/>
  <c r="N7" i="1"/>
  <c r="N11" i="1"/>
  <c r="N6" i="1"/>
  <c r="I12" i="1"/>
  <c r="I15" i="1"/>
  <c r="I8" i="1"/>
  <c r="I9" i="1"/>
  <c r="I13" i="1"/>
  <c r="I10" i="1"/>
  <c r="I14" i="1"/>
  <c r="I7" i="1"/>
  <c r="I11" i="1"/>
  <c r="I6" i="1"/>
  <c r="C5" i="1" s="1"/>
  <c r="J18" i="1" a="1"/>
  <c r="L18" i="1" a="1"/>
  <c r="M18" i="1" a="1"/>
  <c r="J19" i="1" a="1"/>
  <c r="K19" i="1" a="1"/>
  <c r="L19" i="1" a="1"/>
  <c r="M19" i="1" a="1"/>
  <c r="J9" i="1" a="1"/>
  <c r="K9" i="1" a="1"/>
  <c r="L9" i="1" a="1"/>
  <c r="M9" i="1" a="1"/>
  <c r="J24" i="1" a="1"/>
  <c r="K24" i="1" a="1"/>
  <c r="M24" i="1" a="1"/>
  <c r="J11" i="1" a="1"/>
  <c r="K11" i="1" a="1"/>
  <c r="L11" i="1" a="1"/>
  <c r="M11" i="1" a="1"/>
  <c r="J15" i="1" a="1"/>
  <c r="K15" i="1" a="1"/>
  <c r="J20" i="1" a="1"/>
  <c r="K20" i="1" a="1"/>
  <c r="L20" i="1" a="1"/>
  <c r="M20" i="1" a="1"/>
  <c r="J21" i="1" a="1"/>
  <c r="K21" i="1" a="1"/>
  <c r="L21" i="1" a="1"/>
  <c r="M21" i="1" a="1"/>
  <c r="J13" i="1" a="1"/>
  <c r="K13" i="1" a="1"/>
  <c r="J25" i="1" a="1"/>
  <c r="K25" i="1" a="1"/>
  <c r="J7" i="1" a="1"/>
  <c r="L7" i="1" a="1"/>
  <c r="M7" i="1" a="1"/>
  <c r="J22" i="1" a="1"/>
  <c r="K22" i="1" a="1"/>
  <c r="L22" i="1" a="1"/>
  <c r="M22" i="1" a="1"/>
  <c r="J23" i="1" a="1"/>
  <c r="K23" i="1" a="1"/>
  <c r="J10" i="1" a="1"/>
  <c r="K10" i="1" a="1"/>
  <c r="L10" i="1" a="1"/>
  <c r="M10" i="1" a="1"/>
  <c r="J12" i="1" a="1"/>
  <c r="K12" i="1" a="1"/>
  <c r="M12" i="1" a="1"/>
  <c r="L6" i="1" a="1"/>
  <c r="L17" i="1" a="1"/>
  <c r="J8" i="1" a="1"/>
  <c r="K8" i="1" a="1"/>
  <c r="L8" i="1" a="1"/>
  <c r="M8" i="1" a="1"/>
  <c r="J14" i="1" a="1"/>
  <c r="K14" i="1" a="1"/>
  <c r="M14" i="1" a="1"/>
  <c r="M14" i="1" l="1"/>
  <c r="K14" i="1"/>
  <c r="J14" i="1"/>
  <c r="M8" i="1"/>
  <c r="L8" i="1"/>
  <c r="K8" i="1"/>
  <c r="J8" i="1"/>
  <c r="L17" i="1"/>
  <c r="L6" i="1"/>
  <c r="M12" i="1"/>
  <c r="K12" i="1"/>
  <c r="J12" i="1"/>
  <c r="M10" i="1"/>
  <c r="L10" i="1"/>
  <c r="K10" i="1"/>
  <c r="J10" i="1"/>
  <c r="K23" i="1"/>
  <c r="J23" i="1"/>
  <c r="M22" i="1"/>
  <c r="L22" i="1"/>
  <c r="K22" i="1"/>
  <c r="J22" i="1"/>
  <c r="M7" i="1"/>
  <c r="L7" i="1"/>
  <c r="J7" i="1"/>
  <c r="K25" i="1"/>
  <c r="J25" i="1"/>
  <c r="K13" i="1"/>
  <c r="J13" i="1"/>
  <c r="M21" i="1"/>
  <c r="L21" i="1"/>
  <c r="K21" i="1"/>
  <c r="J21" i="1"/>
  <c r="M20" i="1"/>
  <c r="L20" i="1"/>
  <c r="K20" i="1"/>
  <c r="J20" i="1"/>
  <c r="K15" i="1"/>
  <c r="J15" i="1"/>
  <c r="M11" i="1"/>
  <c r="L11" i="1"/>
  <c r="K11" i="1"/>
  <c r="J11" i="1"/>
  <c r="M24" i="1"/>
  <c r="K24" i="1"/>
  <c r="J24" i="1"/>
  <c r="M9" i="1"/>
  <c r="L9" i="1"/>
  <c r="K9" i="1"/>
  <c r="J9" i="1"/>
  <c r="M19" i="1"/>
  <c r="L19" i="1"/>
  <c r="K19" i="1"/>
  <c r="J19" i="1"/>
  <c r="M18" i="1"/>
  <c r="L18" i="1"/>
  <c r="J18" i="1"/>
  <c r="C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<sst xmlns="http://schemas.openxmlformats.org/spreadsheetml/2006/main" count="236" uniqueCount="69">
  <si>
    <t>8.052920</t>
  </si>
  <si>
    <t>192.168.116.163</t>
  </si>
  <si>
    <t>47.91.72.135</t>
  </si>
  <si>
    <t>8.054486</t>
  </si>
  <si>
    <t>8.054577</t>
  </si>
  <si>
    <t>8.054595</t>
  </si>
  <si>
    <t>9.059161</t>
  </si>
  <si>
    <t>9.061754</t>
  </si>
  <si>
    <t>9.061989</t>
  </si>
  <si>
    <t>9.062149</t>
  </si>
  <si>
    <t>9.063861</t>
  </si>
  <si>
    <t>9.066460</t>
  </si>
  <si>
    <t>9.068281</t>
  </si>
  <si>
    <t>9.068320</t>
  </si>
  <si>
    <t>9.068396</t>
  </si>
  <si>
    <t>9.068443</t>
  </si>
  <si>
    <t>9.072426</t>
  </si>
  <si>
    <t>9.073042</t>
  </si>
  <si>
    <t>9.073071</t>
  </si>
  <si>
    <t>9.074622</t>
  </si>
  <si>
    <t>9.075336</t>
  </si>
  <si>
    <t>Packet #</t>
  </si>
  <si>
    <t>Source IP</t>
  </si>
  <si>
    <t>Target IP</t>
  </si>
  <si>
    <t>e1b09405</t>
  </si>
  <si>
    <t>fefe0001</t>
  </si>
  <si>
    <t>e0b09405</t>
  </si>
  <si>
    <t>e2b09405</t>
  </si>
  <si>
    <t>6f000000</t>
  </si>
  <si>
    <t>3c4e6174…</t>
  </si>
  <si>
    <t>bd010000</t>
  </si>
  <si>
    <t>b1b29405</t>
  </si>
  <si>
    <t>b0b29405</t>
  </si>
  <si>
    <t>b2b29405</t>
  </si>
  <si>
    <t>d2000000</t>
  </si>
  <si>
    <t>d0000000</t>
  </si>
  <si>
    <t>CmdID</t>
  </si>
  <si>
    <t>12520 → 8989</t>
  </si>
  <si>
    <t>Len=28</t>
  </si>
  <si>
    <t>8989 → 12520</t>
  </si>
  <si>
    <t>Len=143</t>
  </si>
  <si>
    <t>Len=477</t>
  </si>
  <si>
    <t>Len=24</t>
  </si>
  <si>
    <t>49954 → 8989</t>
  </si>
  <si>
    <t>8989 → 49954</t>
  </si>
  <si>
    <t>Len=242</t>
  </si>
  <si>
    <t>Len=240</t>
  </si>
  <si>
    <t>Ports</t>
  </si>
  <si>
    <t>Length</t>
  </si>
  <si>
    <t>ConnectionID =</t>
  </si>
  <si>
    <t>ConnID</t>
  </si>
  <si>
    <t>Timestamp</t>
  </si>
  <si>
    <t>Data3</t>
  </si>
  <si>
    <t>Data4</t>
  </si>
  <si>
    <t>Tail</t>
  </si>
  <si>
    <t>Request</t>
  </si>
  <si>
    <t>Client Ack</t>
  </si>
  <si>
    <t>NAT Ack</t>
  </si>
  <si>
    <t>02000100</t>
  </si>
  <si>
    <t>Data1</t>
  </si>
  <si>
    <t>Data2</t>
  </si>
  <si>
    <t>Handshake</t>
  </si>
  <si>
    <t>Client Request</t>
  </si>
  <si>
    <t>NAT Responce</t>
  </si>
  <si>
    <t>Command Class</t>
  </si>
  <si>
    <t>00-010102</t>
  </si>
  <si>
    <t>00-010202</t>
  </si>
  <si>
    <t>00-010302</t>
  </si>
  <si>
    <t>NATCmd.CmdID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</si>
</sst>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ourier New"/>
      <family val="1"/>
    </font>
    <font>
      <sz val="10"/>
      <color theme="1"/>
      <name val="Courier New"/>
      <family val="1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vertical="top"/>
    </xf>
    <xf numFmtId="49" fontId="3" fillId="2" borderId="0" xfId="0" applyNumberFormat="1" applyFont="1" applyFill="1" applyAlignment="1">
      <alignment horizontal="right"/>
    </xf>
    <xf numFmtId="49" fontId="3" fillId="0" borderId="0" xfId="0" applyNumberFormat="1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right"/>
    </xf>
    <xf numFmtId="0" fontId="3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5" fillId="4" borderId="0" xfId="0" applyFont="1" applyFill="1"/>
    <xf numFmtId="0" fontId="5" fillId="4" borderId="0" xfId="0" applyFont="1" applyFill="1" applyAlignment="1">
      <alignment horizontal="right"/>
    </xf>
    <xf numFmtId="0" fontId="3" fillId="4" borderId="0" xfId="0" applyFont="1" applyFill="1"/>
    <xf numFmtId="0" fontId="5" fillId="5" borderId="0" xfId="0" applyFont="1" applyFill="1"/>
    <xf numFmtId="0" fontId="5" fillId="5" borderId="0" xfId="0" applyFont="1" applyFill="1" applyAlignment="1">
      <alignment horizontal="right"/>
    </xf>
    <xf numFmtId="0" fontId="3" fillId="5" borderId="0" xfId="0" applyFont="1" applyFill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0" fontId="3" fillId="6" borderId="0" xfId="0" applyFont="1" applyFill="1"/>
    <xf numFmtId="0" fontId="5" fillId="7" borderId="0" xfId="0" applyFont="1" applyFill="1"/>
    <xf numFmtId="0" fontId="5" fillId="7" borderId="0" xfId="0" applyFont="1" applyFill="1" applyAlignment="1">
      <alignment horizontal="right"/>
    </xf>
    <xf numFmtId="0" fontId="3" fillId="7" borderId="0" xfId="0" applyFont="1" applyFill="1"/>
    <xf numFmtId="0" fontId="0" fillId="0" borderId="0" xfId="0" applyAlignment="1">
      <alignment vertical="top" wrapText="1"/>
    </xf>
    <xf numFmtId="0" fontId="6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4" borderId="0" xfId="0" applyFont="1" applyFill="1" applyAlignment="1">
      <alignment vertical="top"/>
    </xf>
    <xf numFmtId="0" fontId="3" fillId="5" borderId="0" xfId="0" applyFont="1" applyFill="1" applyAlignment="1">
      <alignment vertical="top"/>
    </xf>
    <xf numFmtId="0" fontId="3" fillId="6" borderId="0" xfId="0" applyFont="1" applyFill="1" applyAlignment="1">
      <alignment vertical="top"/>
    </xf>
    <xf numFmtId="0" fontId="3" fillId="7" borderId="0" xfId="0" applyFont="1" applyFill="1" applyAlignment="1">
      <alignment vertical="top"/>
    </xf>
    <xf numFmtId="0" fontId="6" fillId="0" borderId="0" xfId="0" applyFont="1" applyAlignment="1">
      <alignment horizontal="righ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VR%20conversation%202412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">
          <cell r="G1" t="str">
            <v>Команды:</v>
          </cell>
          <cell r="J1" t="str">
            <v>номер команды начиная с ConnID</v>
          </cell>
          <cell r="K1" t="str">
            <v>номер последней принятой команды</v>
          </cell>
          <cell r="L1" t="str">
            <v>следующая команда будет отправлена под номером</v>
          </cell>
          <cell r="M1" t="str">
            <v>ожидаю следующую команду под номером</v>
          </cell>
        </row>
        <row r="2">
          <cell r="G2" t="str">
            <v>Подтверждения:</v>
          </cell>
          <cell r="J2" t="str">
            <v>номер последней принятой команды на другой стороне</v>
          </cell>
          <cell r="K2" t="str">
            <v>номер последней принятой команды на этой стороне</v>
          </cell>
          <cell r="L2" t="str">
            <v>пусто</v>
          </cell>
          <cell r="M2" t="str">
            <v>ожидаю следующую команду под номером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D58A-BBFC-D640-B9D8-0FA3E7ACBDC2}">
  <sheetPr codeName="Лист1"/>
  <dimension ref="A1:W25"/>
  <sheetViews>
    <sheetView tabSelected="1" zoomScale="120" zoomScaleNormal="120" workbookViewId="0">
      <selection activeCell="F2" sqref="F2"/>
    </sheetView>
  </sheetViews>
  <sheetFormatPr baseColWidth="10" defaultRowHeight="16" x14ac:dyDescent="0.2"/>
  <cols>
    <col min="1" max="1" width="8" customWidth="1"/>
    <col min="2" max="2" width="10.5" customWidth="1"/>
    <col min="3" max="4" width="17.1640625" bestFit="1" customWidth="1"/>
    <col min="5" max="5" width="13.1640625" bestFit="1" customWidth="1"/>
    <col min="6" max="6" width="8" bestFit="1" customWidth="1"/>
    <col min="7" max="7" width="19" customWidth="1"/>
    <col min="8" max="8" width="10.1640625" bestFit="1" customWidth="1"/>
    <col min="9" max="14" width="10.6640625" bestFit="1" customWidth="1"/>
    <col min="15" max="15" width="26.5" customWidth="1"/>
    <col min="16" max="23" width="10.6640625" customWidth="1"/>
  </cols>
  <sheetData>
    <row r="1" spans="1:23" ht="75" x14ac:dyDescent="0.2">
      <c r="F1" s="37" t="s">
        <v>68</v>
      </c>
      <c r="G1" s="31" t="str" cm="1">
        <f t="array" ref="G1:G2">[1]Лист1!$G$1:$G$2</f>
        <v>Команды:</v>
      </c>
      <c r="H1" s="33" t="s">
        <v>65</v>
      </c>
      <c r="I1" s="34" t="s">
        <v>65</v>
      </c>
      <c r="J1" s="32" t="str" cm="1">
        <f t="array" ref="J1:M2">[1]Лист1!$J$1:$M$2</f>
        <v>номер команды начиная с ConnID</v>
      </c>
      <c r="K1" s="32" t="str">
        <v>номер последней принятой команды</v>
      </c>
      <c r="L1" s="32" t="str">
        <v>следующая команда будет отправлена под номером</v>
      </c>
      <c r="M1" s="32" t="str">
        <v>ожидаю следующую команду под номером</v>
      </c>
      <c r="N1" s="30"/>
    </row>
    <row r="2" spans="1:23" ht="90" x14ac:dyDescent="0.2">
      <c r="G2" s="31" t="str">
        <v>Подтверждения:</v>
      </c>
      <c r="H2" s="35" t="s">
        <v>66</v>
      </c>
      <c r="I2" s="36" t="s">
        <v>66</v>
      </c>
      <c r="J2" s="32" t="str">
        <v>номер последней принятой команды на другой стороне</v>
      </c>
      <c r="K2" s="32" t="str">
        <v>номер последней принятой команды на этой стороне</v>
      </c>
      <c r="L2" s="32" t="str">
        <v>пусто</v>
      </c>
      <c r="M2" s="32" t="str">
        <v>ожидаю следующую команду под номером</v>
      </c>
      <c r="N2" s="30"/>
    </row>
    <row r="3" spans="1:23" x14ac:dyDescent="0.2">
      <c r="G3" s="31"/>
      <c r="H3" s="35" t="s">
        <v>67</v>
      </c>
      <c r="I3" s="36" t="s">
        <v>67</v>
      </c>
      <c r="J3" s="32"/>
      <c r="K3" s="32"/>
      <c r="L3" s="32"/>
      <c r="M3" s="32"/>
      <c r="N3" s="30"/>
    </row>
    <row r="4" spans="1:23" s="1" customFormat="1" ht="17" thickBot="1" x14ac:dyDescent="0.25">
      <c r="A4" s="2" t="s">
        <v>21</v>
      </c>
      <c r="B4" s="2" t="s">
        <v>51</v>
      </c>
      <c r="C4" s="2" t="s">
        <v>22</v>
      </c>
      <c r="D4" s="2" t="s">
        <v>23</v>
      </c>
      <c r="E4" s="2" t="s">
        <v>47</v>
      </c>
      <c r="F4" s="2" t="s">
        <v>48</v>
      </c>
      <c r="G4" s="2" t="s">
        <v>64</v>
      </c>
      <c r="H4" s="3" t="s">
        <v>36</v>
      </c>
      <c r="I4" s="2" t="s">
        <v>50</v>
      </c>
      <c r="J4" s="2" t="s">
        <v>59</v>
      </c>
      <c r="K4" s="2" t="s">
        <v>60</v>
      </c>
      <c r="L4" s="2" t="s">
        <v>52</v>
      </c>
      <c r="M4" s="2" t="s">
        <v>53</v>
      </c>
      <c r="N4" s="2" t="s">
        <v>54</v>
      </c>
      <c r="P4" s="3" t="s">
        <v>36</v>
      </c>
      <c r="Q4" s="3" t="s">
        <v>50</v>
      </c>
      <c r="R4" s="8" t="str" cm="1">
        <f t="array" ref="R4:U4">J4:M4</f>
        <v>Data1</v>
      </c>
      <c r="S4" s="9" t="str">
        <v>Data2</v>
      </c>
      <c r="T4" s="8" t="str">
        <v>Data3</v>
      </c>
      <c r="U4" s="8" t="str">
        <v>Data4</v>
      </c>
      <c r="V4" s="8" t="s">
        <v>54</v>
      </c>
      <c r="W4" s="10" t="s">
        <v>55</v>
      </c>
    </row>
    <row r="5" spans="1:23" s="1" customFormat="1" x14ac:dyDescent="0.2">
      <c r="A5" s="1" t="s">
        <v>49</v>
      </c>
      <c r="B5" s="4"/>
      <c r="C5" s="4">
        <f>I6</f>
        <v>93630689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5"/>
      <c r="Q5" s="5"/>
      <c r="R5" s="4"/>
      <c r="S5" s="4"/>
      <c r="T5" s="4"/>
      <c r="U5" s="4"/>
      <c r="V5" s="4"/>
      <c r="W5" s="4"/>
    </row>
    <row r="6" spans="1:23" x14ac:dyDescent="0.2">
      <c r="A6" s="16">
        <v>1931</v>
      </c>
      <c r="B6" s="17" t="s">
        <v>0</v>
      </c>
      <c r="C6" s="16" t="s">
        <v>1</v>
      </c>
      <c r="D6" s="16" t="s">
        <v>2</v>
      </c>
      <c r="E6" s="16" t="s">
        <v>37</v>
      </c>
      <c r="F6" s="16" t="s">
        <v>38</v>
      </c>
      <c r="G6" s="16" t="s">
        <v>61</v>
      </c>
      <c r="H6" s="15" t="str" cm="1">
        <f t="array" ref="H6">Reverse2_6(P6)</f>
        <v>00-010002</v>
      </c>
      <c r="I6" s="15" cm="1">
        <f t="array" ref="I6">HEX2DEC(Reverse(Q6))</f>
        <v>93630689</v>
      </c>
      <c r="J6" s="15" t="str" cm="1">
        <f t="array" ref="J6">IF(R6&lt;&gt;0, HEX2DEC(Reverse(R6))-$I6,"")</f>
        <v/>
      </c>
      <c r="K6" s="15" t="str" cm="1">
        <f t="array" ref="K6">IF(S6&lt;&gt;0, HEX2DEC(Reverse(S6))-$I6,"")</f>
        <v/>
      </c>
      <c r="L6" s="15" cm="1">
        <f t="array" ref="L6">IF(T6&lt;&gt;0, HEX2DEC(Reverse(T6))-$I6,"")</f>
        <v>0</v>
      </c>
      <c r="M6" s="15" t="str" cm="1">
        <f t="array" ref="M6">IF(U6&lt;&gt;0, HEX2DEC(Reverse(U6))-$I6,"")</f>
        <v/>
      </c>
      <c r="N6" s="15" t="str" cm="1">
        <f t="array" ref="N6">Reverse(V6)</f>
        <v>0100FEFE</v>
      </c>
      <c r="O6" s="6"/>
      <c r="P6" s="11" t="s">
        <v>58</v>
      </c>
      <c r="Q6" s="11" t="s">
        <v>24</v>
      </c>
      <c r="R6" s="11">
        <v>0</v>
      </c>
      <c r="S6" s="11">
        <v>0</v>
      </c>
      <c r="T6" s="11" t="s">
        <v>24</v>
      </c>
      <c r="U6" s="11">
        <v>0</v>
      </c>
      <c r="V6" s="11" t="s">
        <v>25</v>
      </c>
      <c r="W6" s="12"/>
    </row>
    <row r="7" spans="1:23" x14ac:dyDescent="0.2">
      <c r="A7" s="13">
        <v>1988</v>
      </c>
      <c r="B7" s="14" t="s">
        <v>3</v>
      </c>
      <c r="C7" s="13" t="s">
        <v>2</v>
      </c>
      <c r="D7" s="13" t="s">
        <v>1</v>
      </c>
      <c r="E7" s="13" t="s">
        <v>39</v>
      </c>
      <c r="F7" s="13" t="s">
        <v>38</v>
      </c>
      <c r="G7" s="13" t="s">
        <v>61</v>
      </c>
      <c r="H7" s="6" t="str" cm="1">
        <f t="array" ref="H7">Reverse2_6(P7)</f>
        <v>00-010002</v>
      </c>
      <c r="I7" s="6" cm="1">
        <f t="array" ref="I7">HEX2DEC(Reverse(Q7))</f>
        <v>93630689</v>
      </c>
      <c r="J7" s="6" cm="1">
        <f t="array" ref="J7">IF(R7&lt;&gt;0, HEX2DEC(Reverse(R7))-$I7,"")</f>
        <v>-1</v>
      </c>
      <c r="K7" s="6" t="str" cm="1">
        <f t="array" ref="K7">IF(S7&lt;&gt;0, HEX2DEC(Reverse(S7))-$I7,"")</f>
        <v/>
      </c>
      <c r="L7" s="6" cm="1">
        <f t="array" ref="L7">IF(T7&lt;&gt;0, HEX2DEC(Reverse(T7))-$I7,"")</f>
        <v>0</v>
      </c>
      <c r="M7" s="6" cm="1">
        <f t="array" ref="M7">IF(U7&lt;&gt;0, HEX2DEC(Reverse(U7))-$I7,"")</f>
        <v>0</v>
      </c>
      <c r="N7" s="6" t="str" cm="1">
        <f t="array" ref="N7">Reverse(V7)</f>
        <v>0100FEFE</v>
      </c>
      <c r="O7" s="6"/>
      <c r="P7" s="12" t="s">
        <v>58</v>
      </c>
      <c r="Q7" s="12" t="s">
        <v>24</v>
      </c>
      <c r="R7" s="12" t="s">
        <v>26</v>
      </c>
      <c r="S7" s="12">
        <v>0</v>
      </c>
      <c r="T7" s="12" t="s">
        <v>24</v>
      </c>
      <c r="U7" s="12" t="s">
        <v>24</v>
      </c>
      <c r="V7" s="12" t="s">
        <v>25</v>
      </c>
      <c r="W7" s="12"/>
    </row>
    <row r="8" spans="1:23" x14ac:dyDescent="0.2">
      <c r="A8" s="16">
        <v>1992</v>
      </c>
      <c r="B8" s="17" t="s">
        <v>4</v>
      </c>
      <c r="C8" s="16" t="s">
        <v>1</v>
      </c>
      <c r="D8" s="16" t="s">
        <v>2</v>
      </c>
      <c r="E8" s="16" t="s">
        <v>37</v>
      </c>
      <c r="F8" s="16" t="s">
        <v>38</v>
      </c>
      <c r="G8" s="16" t="s">
        <v>61</v>
      </c>
      <c r="H8" s="15" t="str" cm="1">
        <f t="array" ref="H8">Reverse2_6(P8)</f>
        <v>00-010002</v>
      </c>
      <c r="I8" s="15" cm="1">
        <f t="array" ref="I8">HEX2DEC(Reverse(Q8))</f>
        <v>93630689</v>
      </c>
      <c r="J8" s="15" cm="1">
        <f t="array" ref="J8">IF(R8&lt;&gt;0, HEX2DEC(Reverse(R8))-$I8,"")</f>
        <v>-1</v>
      </c>
      <c r="K8" s="15" cm="1">
        <f t="array" ref="K8">IF(S8&lt;&gt;0, HEX2DEC(Reverse(S8))-$I8,"")</f>
        <v>-1</v>
      </c>
      <c r="L8" s="15" cm="1">
        <f t="array" ref="L8">IF(T8&lt;&gt;0, HEX2DEC(Reverse(T8))-$I8,"")</f>
        <v>0</v>
      </c>
      <c r="M8" s="15" cm="1">
        <f t="array" ref="M8">IF(U8&lt;&gt;0, HEX2DEC(Reverse(U8))-$I8,"")</f>
        <v>1</v>
      </c>
      <c r="N8" s="15" t="str" cm="1">
        <f t="array" ref="N8">Reverse(V8)</f>
        <v>0100FEFE</v>
      </c>
      <c r="O8" s="6"/>
      <c r="P8" s="11">
        <v>2000100</v>
      </c>
      <c r="Q8" s="11" t="s">
        <v>24</v>
      </c>
      <c r="R8" s="11" t="s">
        <v>26</v>
      </c>
      <c r="S8" s="11" t="s">
        <v>26</v>
      </c>
      <c r="T8" s="11" t="s">
        <v>24</v>
      </c>
      <c r="U8" s="11" t="s">
        <v>27</v>
      </c>
      <c r="V8" s="11" t="s">
        <v>25</v>
      </c>
      <c r="W8" s="12"/>
    </row>
    <row r="9" spans="1:23" x14ac:dyDescent="0.2">
      <c r="A9" s="18">
        <v>1993</v>
      </c>
      <c r="B9" s="19" t="s">
        <v>5</v>
      </c>
      <c r="C9" s="18" t="s">
        <v>1</v>
      </c>
      <c r="D9" s="18" t="s">
        <v>2</v>
      </c>
      <c r="E9" s="18" t="s">
        <v>37</v>
      </c>
      <c r="F9" s="18" t="s">
        <v>40</v>
      </c>
      <c r="G9" s="18" t="s">
        <v>62</v>
      </c>
      <c r="H9" s="20" t="str" cm="1">
        <f t="array" ref="H9">Reverse2_6(P9)</f>
        <v>00-010102</v>
      </c>
      <c r="I9" s="20" cm="1">
        <f t="array" ref="I9">HEX2DEC(Reverse(Q9))</f>
        <v>93630689</v>
      </c>
      <c r="J9" s="20" cm="1">
        <f t="array" ref="J9">IF(R9&lt;&gt;0, HEX2DEC(Reverse(R9))-$I9,"")</f>
        <v>0</v>
      </c>
      <c r="K9" s="20" cm="1">
        <f t="array" ref="K9">IF(S9&lt;&gt;0, HEX2DEC(Reverse(S9))-$I9,"")</f>
        <v>-1</v>
      </c>
      <c r="L9" s="20" cm="1">
        <f t="array" ref="L9">IF(T9&lt;&gt;0, HEX2DEC(Reverse(T9))-$I9,"")</f>
        <v>1</v>
      </c>
      <c r="M9" s="20" cm="1">
        <f t="array" ref="M9">IF(U9&lt;&gt;0, HEX2DEC(Reverse(U9))-$I9,"")</f>
        <v>0</v>
      </c>
      <c r="N9" s="20" t="str" cm="1">
        <f t="array" ref="N9">Reverse(V9)</f>
        <v>00000100</v>
      </c>
      <c r="O9" s="6" t="s">
        <v>29</v>
      </c>
      <c r="P9" s="12">
        <v>2010100</v>
      </c>
      <c r="Q9" s="12" t="s">
        <v>24</v>
      </c>
      <c r="R9" s="12" t="s">
        <v>24</v>
      </c>
      <c r="S9" s="12" t="s">
        <v>26</v>
      </c>
      <c r="T9" s="12" t="s">
        <v>27</v>
      </c>
      <c r="U9" s="12" t="s">
        <v>24</v>
      </c>
      <c r="V9" s="12">
        <v>10000</v>
      </c>
      <c r="W9" s="12" t="s">
        <v>28</v>
      </c>
    </row>
    <row r="10" spans="1:23" x14ac:dyDescent="0.2">
      <c r="A10" s="18">
        <v>2148</v>
      </c>
      <c r="B10" s="19" t="s">
        <v>6</v>
      </c>
      <c r="C10" s="18" t="s">
        <v>1</v>
      </c>
      <c r="D10" s="18" t="s">
        <v>2</v>
      </c>
      <c r="E10" s="18" t="s">
        <v>37</v>
      </c>
      <c r="F10" s="18" t="s">
        <v>40</v>
      </c>
      <c r="G10" s="18" t="s">
        <v>62</v>
      </c>
      <c r="H10" s="20" t="str" cm="1">
        <f t="array" ref="H10">Reverse2_6(P10)</f>
        <v>00-010102</v>
      </c>
      <c r="I10" s="20" cm="1">
        <f t="array" ref="I10">HEX2DEC(Reverse(Q10))</f>
        <v>93630689</v>
      </c>
      <c r="J10" s="20" cm="1">
        <f t="array" ref="J10">IF(R10&lt;&gt;0, HEX2DEC(Reverse(R10))-$I10,"")</f>
        <v>1</v>
      </c>
      <c r="K10" s="20" cm="1">
        <f t="array" ref="K10">IF(S10&lt;&gt;0, HEX2DEC(Reverse(S10))-$I10,"")</f>
        <v>-1</v>
      </c>
      <c r="L10" s="20" cm="1">
        <f t="array" ref="L10">IF(T10&lt;&gt;0, HEX2DEC(Reverse(T10))-$I10,"")</f>
        <v>1</v>
      </c>
      <c r="M10" s="20" cm="1">
        <f t="array" ref="M10">IF(U10&lt;&gt;0, HEX2DEC(Reverse(U10))-$I10,"")</f>
        <v>0</v>
      </c>
      <c r="N10" s="20" t="str" cm="1">
        <f t="array" ref="N10">Reverse(V10)</f>
        <v>00000100</v>
      </c>
      <c r="O10" s="6" t="s">
        <v>29</v>
      </c>
      <c r="P10" s="12">
        <v>2010100</v>
      </c>
      <c r="Q10" s="12" t="s">
        <v>24</v>
      </c>
      <c r="R10" s="12" t="s">
        <v>27</v>
      </c>
      <c r="S10" s="12" t="s">
        <v>26</v>
      </c>
      <c r="T10" s="12" t="s">
        <v>27</v>
      </c>
      <c r="U10" s="12" t="s">
        <v>24</v>
      </c>
      <c r="V10" s="12">
        <v>10000</v>
      </c>
      <c r="W10" s="12" t="s">
        <v>28</v>
      </c>
    </row>
    <row r="11" spans="1:23" x14ac:dyDescent="0.2">
      <c r="A11" s="21">
        <v>2186</v>
      </c>
      <c r="B11" s="22" t="s">
        <v>7</v>
      </c>
      <c r="C11" s="21" t="s">
        <v>2</v>
      </c>
      <c r="D11" s="21" t="s">
        <v>1</v>
      </c>
      <c r="E11" s="21" t="s">
        <v>39</v>
      </c>
      <c r="F11" s="21" t="s">
        <v>41</v>
      </c>
      <c r="G11" s="21" t="s">
        <v>63</v>
      </c>
      <c r="H11" s="23" t="str" cm="1">
        <f t="array" ref="H11">Reverse2_6(P11)</f>
        <v>00-010102</v>
      </c>
      <c r="I11" s="23" cm="1">
        <f t="array" ref="I11">HEX2DEC(Reverse(Q11))</f>
        <v>93630689</v>
      </c>
      <c r="J11" s="23" cm="1">
        <f t="array" ref="J11">IF(R11&lt;&gt;0, HEX2DEC(Reverse(R11))-$I11,"")</f>
        <v>0</v>
      </c>
      <c r="K11" s="23" cm="1">
        <f t="array" ref="K11">IF(S11&lt;&gt;0, HEX2DEC(Reverse(S11))-$I11,"")</f>
        <v>0</v>
      </c>
      <c r="L11" s="23" cm="1">
        <f t="array" ref="L11">IF(T11&lt;&gt;0, HEX2DEC(Reverse(T11))-$I11,"")</f>
        <v>1</v>
      </c>
      <c r="M11" s="23" cm="1">
        <f t="array" ref="M11">IF(U11&lt;&gt;0, HEX2DEC(Reverse(U11))-$I11,"")</f>
        <v>1</v>
      </c>
      <c r="N11" s="23" t="str" cm="1">
        <f t="array" ref="N11">Reverse(V11)</f>
        <v>00000100</v>
      </c>
      <c r="O11" s="6" t="s">
        <v>29</v>
      </c>
      <c r="P11" s="12">
        <v>2010100</v>
      </c>
      <c r="Q11" s="12" t="s">
        <v>24</v>
      </c>
      <c r="R11" s="12" t="s">
        <v>24</v>
      </c>
      <c r="S11" s="12" t="s">
        <v>24</v>
      </c>
      <c r="T11" s="12" t="s">
        <v>27</v>
      </c>
      <c r="U11" s="12" t="s">
        <v>27</v>
      </c>
      <c r="V11" s="12">
        <v>10000</v>
      </c>
      <c r="W11" s="12" t="s">
        <v>30</v>
      </c>
    </row>
    <row r="12" spans="1:23" x14ac:dyDescent="0.2">
      <c r="A12" s="24">
        <v>2191</v>
      </c>
      <c r="B12" s="25" t="s">
        <v>8</v>
      </c>
      <c r="C12" s="24" t="s">
        <v>1</v>
      </c>
      <c r="D12" s="24" t="s">
        <v>2</v>
      </c>
      <c r="E12" s="24" t="s">
        <v>37</v>
      </c>
      <c r="F12" s="24" t="s">
        <v>42</v>
      </c>
      <c r="G12" s="24" t="s">
        <v>56</v>
      </c>
      <c r="H12" s="26" t="str" cm="1">
        <f t="array" ref="H12">Reverse2_6(P12)</f>
        <v>00-010202</v>
      </c>
      <c r="I12" s="26" cm="1">
        <f t="array" ref="I12">HEX2DEC(Reverse(Q12))</f>
        <v>93630689</v>
      </c>
      <c r="J12" s="26" cm="1">
        <f t="array" ref="J12">IF(R12&lt;&gt;0, HEX2DEC(Reverse(R12))-$I12,"")</f>
        <v>1</v>
      </c>
      <c r="K12" s="26" cm="1">
        <f t="array" ref="K12">IF(S12&lt;&gt;0, HEX2DEC(Reverse(S12))-$I12,"")</f>
        <v>0</v>
      </c>
      <c r="L12" s="26" t="str" cm="1">
        <f t="array" ref="L12">IF(T12&lt;&gt;0, HEX2DEC(Reverse(T12))-$I12,"")</f>
        <v/>
      </c>
      <c r="M12" s="26" cm="1">
        <f t="array" ref="M12">IF(U12&lt;&gt;0, HEX2DEC(Reverse(U12))-$I12,"")</f>
        <v>1</v>
      </c>
      <c r="N12" s="26"/>
      <c r="O12" s="6"/>
      <c r="P12" s="12">
        <v>2020100</v>
      </c>
      <c r="Q12" s="12" t="s">
        <v>24</v>
      </c>
      <c r="R12" s="12" t="s">
        <v>27</v>
      </c>
      <c r="S12" s="12" t="s">
        <v>24</v>
      </c>
      <c r="T12" s="12">
        <v>0</v>
      </c>
      <c r="U12" s="12" t="s">
        <v>27</v>
      </c>
      <c r="V12" s="12"/>
      <c r="W12" s="12"/>
    </row>
    <row r="13" spans="1:23" x14ac:dyDescent="0.2">
      <c r="A13" s="24">
        <v>2226</v>
      </c>
      <c r="B13" s="25" t="s">
        <v>10</v>
      </c>
      <c r="C13" s="24" t="s">
        <v>1</v>
      </c>
      <c r="D13" s="24" t="s">
        <v>2</v>
      </c>
      <c r="E13" s="24" t="s">
        <v>37</v>
      </c>
      <c r="F13" s="24" t="s">
        <v>42</v>
      </c>
      <c r="G13" s="24" t="s">
        <v>56</v>
      </c>
      <c r="H13" s="26" t="str" cm="1">
        <f t="array" ref="H13">Reverse2_6(P13)</f>
        <v>00-010302</v>
      </c>
      <c r="I13" s="26" cm="1">
        <f t="array" ref="I13">HEX2DEC(Reverse(Q13))</f>
        <v>93630689</v>
      </c>
      <c r="J13" s="26" cm="1">
        <f t="array" ref="J13">IF(R13&lt;&gt;0, HEX2DEC(Reverse(R13))-$I13,"")</f>
        <v>1</v>
      </c>
      <c r="K13" s="26" cm="1">
        <f t="array" ref="K13">IF(S13&lt;&gt;0, HEX2DEC(Reverse(S13))-$I13,"")</f>
        <v>0</v>
      </c>
      <c r="L13" s="26" t="str" cm="1">
        <f t="array" ref="L13">IF(T13&lt;&gt;0, HEX2DEC(Reverse(T13))-$I13,"")</f>
        <v/>
      </c>
      <c r="M13" s="26" t="str" cm="1">
        <f t="array" ref="M13">IF(U13&lt;&gt;0, HEX2DEC(Reverse(U13))-$I13,"")</f>
        <v/>
      </c>
      <c r="N13" s="26"/>
      <c r="O13" s="6"/>
      <c r="P13" s="12">
        <v>2030100</v>
      </c>
      <c r="Q13" s="12" t="s">
        <v>24</v>
      </c>
      <c r="R13" s="12" t="s">
        <v>27</v>
      </c>
      <c r="S13" s="12" t="s">
        <v>24</v>
      </c>
      <c r="T13" s="12">
        <v>0</v>
      </c>
      <c r="U13" s="12">
        <v>0</v>
      </c>
      <c r="V13" s="12"/>
      <c r="W13" s="12"/>
    </row>
    <row r="14" spans="1:23" x14ac:dyDescent="0.2">
      <c r="A14" s="27">
        <v>2278</v>
      </c>
      <c r="B14" s="28" t="s">
        <v>11</v>
      </c>
      <c r="C14" s="27" t="s">
        <v>2</v>
      </c>
      <c r="D14" s="27" t="s">
        <v>1</v>
      </c>
      <c r="E14" s="27" t="s">
        <v>39</v>
      </c>
      <c r="F14" s="27" t="s">
        <v>42</v>
      </c>
      <c r="G14" s="27" t="s">
        <v>57</v>
      </c>
      <c r="H14" s="29" t="str" cm="1">
        <f t="array" ref="H14">Reverse2_6(P14)</f>
        <v>00-010202</v>
      </c>
      <c r="I14" s="29" cm="1">
        <f t="array" ref="I14">HEX2DEC(Reverse(Q14))</f>
        <v>93630689</v>
      </c>
      <c r="J14" s="29" cm="1">
        <f t="array" ref="J14">IF(R14&lt;&gt;0, HEX2DEC(Reverse(R14))-$I14,"")</f>
        <v>0</v>
      </c>
      <c r="K14" s="29" cm="1">
        <f t="array" ref="K14">IF(S14&lt;&gt;0, HEX2DEC(Reverse(S14))-$I14,"")</f>
        <v>1</v>
      </c>
      <c r="L14" s="29" t="str" cm="1">
        <f t="array" ref="L14">IF(T14&lt;&gt;0, HEX2DEC(Reverse(T14))-$I14,"")</f>
        <v/>
      </c>
      <c r="M14" s="29" cm="1">
        <f t="array" ref="M14">IF(U14&lt;&gt;0, HEX2DEC(Reverse(U14))-$I14,"")</f>
        <v>1</v>
      </c>
      <c r="N14" s="29"/>
      <c r="O14" s="6"/>
      <c r="P14" s="12">
        <v>2020100</v>
      </c>
      <c r="Q14" s="12" t="s">
        <v>24</v>
      </c>
      <c r="R14" s="12" t="s">
        <v>24</v>
      </c>
      <c r="S14" s="12" t="s">
        <v>27</v>
      </c>
      <c r="T14" s="12">
        <v>0</v>
      </c>
      <c r="U14" s="12" t="s">
        <v>27</v>
      </c>
      <c r="V14" s="12"/>
      <c r="W14" s="12"/>
    </row>
    <row r="15" spans="1:23" x14ac:dyDescent="0.2">
      <c r="A15" s="27">
        <v>2317</v>
      </c>
      <c r="B15" s="28" t="s">
        <v>13</v>
      </c>
      <c r="C15" s="27" t="s">
        <v>2</v>
      </c>
      <c r="D15" s="27" t="s">
        <v>1</v>
      </c>
      <c r="E15" s="27" t="s">
        <v>39</v>
      </c>
      <c r="F15" s="27" t="s">
        <v>42</v>
      </c>
      <c r="G15" s="27" t="s">
        <v>57</v>
      </c>
      <c r="H15" s="29" t="str" cm="1">
        <f t="array" ref="H15">Reverse2_6(P15)</f>
        <v>00-010302</v>
      </c>
      <c r="I15" s="29" cm="1">
        <f t="array" ref="I15">HEX2DEC(Reverse(Q15))</f>
        <v>93630689</v>
      </c>
      <c r="J15" s="29" cm="1">
        <f t="array" ref="J15">IF(R15&lt;&gt;0, HEX2DEC(Reverse(R15))-$I15,"")</f>
        <v>0</v>
      </c>
      <c r="K15" s="29" cm="1">
        <f t="array" ref="K15">IF(S15&lt;&gt;0, HEX2DEC(Reverse(S15))-$I15,"")</f>
        <v>1</v>
      </c>
      <c r="L15" s="29" t="str" cm="1">
        <f t="array" ref="L15">IF(T15&lt;&gt;0, HEX2DEC(Reverse(T15))-$I15,"")</f>
        <v/>
      </c>
      <c r="M15" s="29" t="str" cm="1">
        <f t="array" ref="M15">IF(U15&lt;&gt;0, HEX2DEC(Reverse(U15))-$I15,"")</f>
        <v/>
      </c>
      <c r="N15" s="29"/>
      <c r="O15" s="6"/>
      <c r="P15" s="12">
        <v>2030100</v>
      </c>
      <c r="Q15" s="12" t="s">
        <v>24</v>
      </c>
      <c r="R15" s="12" t="s">
        <v>24</v>
      </c>
      <c r="S15" s="12" t="s">
        <v>27</v>
      </c>
      <c r="T15" s="12">
        <v>0</v>
      </c>
      <c r="U15" s="12">
        <v>0</v>
      </c>
      <c r="V15" s="12"/>
      <c r="W15" s="12"/>
    </row>
    <row r="16" spans="1:23" x14ac:dyDescent="0.2">
      <c r="A16" s="1" t="str">
        <f>A5</f>
        <v>ConnectionID =</v>
      </c>
      <c r="B16" s="7"/>
      <c r="C16" s="4">
        <f>I17</f>
        <v>93631153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2"/>
      <c r="Q16" s="12"/>
      <c r="R16" s="12"/>
      <c r="S16" s="12"/>
      <c r="T16" s="12"/>
      <c r="U16" s="12"/>
      <c r="V16" s="12"/>
      <c r="W16" s="12"/>
    </row>
    <row r="17" spans="1:23" x14ac:dyDescent="0.2">
      <c r="A17" s="16">
        <v>2193</v>
      </c>
      <c r="B17" s="17" t="s">
        <v>9</v>
      </c>
      <c r="C17" s="16" t="s">
        <v>1</v>
      </c>
      <c r="D17" s="16" t="s">
        <v>2</v>
      </c>
      <c r="E17" s="16" t="s">
        <v>43</v>
      </c>
      <c r="F17" s="16" t="s">
        <v>38</v>
      </c>
      <c r="G17" s="16" t="s">
        <v>61</v>
      </c>
      <c r="H17" s="15" t="str" cm="1">
        <f t="array" ref="H17">Reverse2_6(P17)</f>
        <v>00-010002</v>
      </c>
      <c r="I17" s="15" cm="1">
        <f t="array" ref="I17">HEX2DEC(Reverse(Q17))</f>
        <v>93631153</v>
      </c>
      <c r="J17" s="15" t="str" cm="1">
        <f t="array" ref="J17">IF(R17&lt;&gt;0, HEX2DEC(Reverse(R17))-$I17,"")</f>
        <v/>
      </c>
      <c r="K17" s="15" t="str" cm="1">
        <f t="array" ref="K17">IF(S17&lt;&gt;0, HEX2DEC(Reverse(S17))-$I17,"")</f>
        <v/>
      </c>
      <c r="L17" s="15" cm="1">
        <f t="array" ref="L17">IF(T17&lt;&gt;0, HEX2DEC(Reverse(T17))-$I17,"")</f>
        <v>0</v>
      </c>
      <c r="M17" s="15" t="str" cm="1">
        <f t="array" ref="M17">IF(U17&lt;&gt;0, HEX2DEC(Reverse(U17))-$I17,"")</f>
        <v/>
      </c>
      <c r="N17" s="15" t="str" cm="1">
        <f t="array" ref="N17">Reverse(V17)</f>
        <v>0100FEFE</v>
      </c>
      <c r="O17" s="6"/>
      <c r="P17" s="11">
        <v>2000100</v>
      </c>
      <c r="Q17" s="11" t="s">
        <v>31</v>
      </c>
      <c r="R17" s="11">
        <v>0</v>
      </c>
      <c r="S17" s="11">
        <v>0</v>
      </c>
      <c r="T17" s="11" t="s">
        <v>31</v>
      </c>
      <c r="U17" s="11">
        <v>0</v>
      </c>
      <c r="V17" s="11" t="s">
        <v>25</v>
      </c>
      <c r="W17" s="12"/>
    </row>
    <row r="18" spans="1:23" x14ac:dyDescent="0.2">
      <c r="A18" s="13">
        <v>2316</v>
      </c>
      <c r="B18" s="14" t="s">
        <v>12</v>
      </c>
      <c r="C18" s="13" t="s">
        <v>2</v>
      </c>
      <c r="D18" s="13" t="s">
        <v>1</v>
      </c>
      <c r="E18" s="13" t="s">
        <v>44</v>
      </c>
      <c r="F18" s="13" t="s">
        <v>38</v>
      </c>
      <c r="G18" s="13" t="s">
        <v>61</v>
      </c>
      <c r="H18" s="6" t="str" cm="1">
        <f t="array" ref="H18">Reverse2_6(P18)</f>
        <v>00-010002</v>
      </c>
      <c r="I18" s="6" cm="1">
        <f t="array" ref="I18">HEX2DEC(Reverse(Q18))</f>
        <v>93631153</v>
      </c>
      <c r="J18" s="6" cm="1">
        <f t="array" ref="J18">IF(R18&lt;&gt;0, HEX2DEC(Reverse(R18))-$I18,"")</f>
        <v>-1</v>
      </c>
      <c r="K18" s="6" t="str" cm="1">
        <f t="array" ref="K18">IF(S18&lt;&gt;0, HEX2DEC(Reverse(S18))-$I18,"")</f>
        <v/>
      </c>
      <c r="L18" s="6" cm="1">
        <f t="array" ref="L18">IF(T18&lt;&gt;0, HEX2DEC(Reverse(T18))-$I18,"")</f>
        <v>0</v>
      </c>
      <c r="M18" s="6" cm="1">
        <f t="array" ref="M18">IF(U18&lt;&gt;0, HEX2DEC(Reverse(U18))-$I18,"")</f>
        <v>0</v>
      </c>
      <c r="N18" s="6" t="str" cm="1">
        <f t="array" ref="N18">Reverse(V18)</f>
        <v>0100FEFE</v>
      </c>
      <c r="O18" s="6"/>
      <c r="P18" s="12">
        <v>2000100</v>
      </c>
      <c r="Q18" s="12" t="s">
        <v>31</v>
      </c>
      <c r="R18" s="12" t="s">
        <v>32</v>
      </c>
      <c r="S18" s="12">
        <v>0</v>
      </c>
      <c r="T18" s="12" t="s">
        <v>31</v>
      </c>
      <c r="U18" s="12" t="s">
        <v>31</v>
      </c>
      <c r="V18" s="12" t="s">
        <v>25</v>
      </c>
      <c r="W18" s="12"/>
    </row>
    <row r="19" spans="1:23" x14ac:dyDescent="0.2">
      <c r="A19" s="16">
        <v>2319</v>
      </c>
      <c r="B19" s="17" t="s">
        <v>14</v>
      </c>
      <c r="C19" s="16" t="s">
        <v>1</v>
      </c>
      <c r="D19" s="16" t="s">
        <v>2</v>
      </c>
      <c r="E19" s="16" t="s">
        <v>43</v>
      </c>
      <c r="F19" s="16" t="s">
        <v>38</v>
      </c>
      <c r="G19" s="16" t="s">
        <v>61</v>
      </c>
      <c r="H19" s="15" t="str" cm="1">
        <f t="array" ref="H19">Reverse2_6(P19)</f>
        <v>00-010002</v>
      </c>
      <c r="I19" s="15" cm="1">
        <f t="array" ref="I19">HEX2DEC(Reverse(Q19))</f>
        <v>93631153</v>
      </c>
      <c r="J19" s="15" cm="1">
        <f t="array" ref="J19">IF(R19&lt;&gt;0, HEX2DEC(Reverse(R19))-$I19,"")</f>
        <v>-1</v>
      </c>
      <c r="K19" s="15" cm="1">
        <f t="array" ref="K19">IF(S19&lt;&gt;0, HEX2DEC(Reverse(S19))-$I19,"")</f>
        <v>-1</v>
      </c>
      <c r="L19" s="15" cm="1">
        <f t="array" ref="L19">IF(T19&lt;&gt;0, HEX2DEC(Reverse(T19))-$I19,"")</f>
        <v>0</v>
      </c>
      <c r="M19" s="15" cm="1">
        <f t="array" ref="M19">IF(U19&lt;&gt;0, HEX2DEC(Reverse(U19))-$I19,"")</f>
        <v>1</v>
      </c>
      <c r="N19" s="15" t="str" cm="1">
        <f t="array" ref="N19">Reverse(V19)</f>
        <v>0100FEFE</v>
      </c>
      <c r="O19" s="6"/>
      <c r="P19" s="11">
        <v>2000100</v>
      </c>
      <c r="Q19" s="11" t="s">
        <v>31</v>
      </c>
      <c r="R19" s="11" t="s">
        <v>32</v>
      </c>
      <c r="S19" s="11" t="s">
        <v>32</v>
      </c>
      <c r="T19" s="11" t="s">
        <v>31</v>
      </c>
      <c r="U19" s="11" t="s">
        <v>33</v>
      </c>
      <c r="V19" s="11" t="s">
        <v>25</v>
      </c>
      <c r="W19" s="12"/>
    </row>
    <row r="20" spans="1:23" x14ac:dyDescent="0.2">
      <c r="A20" s="18">
        <v>2320</v>
      </c>
      <c r="B20" s="19" t="s">
        <v>15</v>
      </c>
      <c r="C20" s="18" t="s">
        <v>1</v>
      </c>
      <c r="D20" s="18" t="s">
        <v>2</v>
      </c>
      <c r="E20" s="18" t="s">
        <v>43</v>
      </c>
      <c r="F20" s="18" t="s">
        <v>45</v>
      </c>
      <c r="G20" s="18" t="s">
        <v>62</v>
      </c>
      <c r="H20" s="20" t="str" cm="1">
        <f t="array" ref="H20">Reverse2_6(P20)</f>
        <v>00-010102</v>
      </c>
      <c r="I20" s="20" cm="1">
        <f t="array" ref="I20">HEX2DEC(Reverse(Q20))</f>
        <v>93631153</v>
      </c>
      <c r="J20" s="20" cm="1">
        <f t="array" ref="J20">IF(R20&lt;&gt;0, HEX2DEC(Reverse(R20))-$I20,"")</f>
        <v>0</v>
      </c>
      <c r="K20" s="20" cm="1">
        <f t="array" ref="K20">IF(S20&lt;&gt;0, HEX2DEC(Reverse(S20))-$I20,"")</f>
        <v>-1</v>
      </c>
      <c r="L20" s="20" cm="1">
        <f t="array" ref="L20">IF(T20&lt;&gt;0, HEX2DEC(Reverse(T20))-$I20,"")</f>
        <v>1</v>
      </c>
      <c r="M20" s="20" cm="1">
        <f t="array" ref="M20">IF(U20&lt;&gt;0, HEX2DEC(Reverse(U20))-$I20,"")</f>
        <v>0</v>
      </c>
      <c r="N20" s="20" t="str" cm="1">
        <f t="array" ref="N20">Reverse(V20)</f>
        <v>00000100</v>
      </c>
      <c r="O20" s="6" t="s">
        <v>29</v>
      </c>
      <c r="P20" s="12">
        <v>2010100</v>
      </c>
      <c r="Q20" s="12" t="s">
        <v>31</v>
      </c>
      <c r="R20" s="12" t="s">
        <v>31</v>
      </c>
      <c r="S20" s="12" t="s">
        <v>32</v>
      </c>
      <c r="T20" s="12" t="s">
        <v>33</v>
      </c>
      <c r="U20" s="12" t="s">
        <v>31</v>
      </c>
      <c r="V20" s="12">
        <v>10000</v>
      </c>
      <c r="W20" s="12" t="s">
        <v>34</v>
      </c>
    </row>
    <row r="21" spans="1:23" x14ac:dyDescent="0.2">
      <c r="A21" s="18">
        <v>2433</v>
      </c>
      <c r="B21" s="19" t="s">
        <v>16</v>
      </c>
      <c r="C21" s="18" t="s">
        <v>1</v>
      </c>
      <c r="D21" s="18" t="s">
        <v>2</v>
      </c>
      <c r="E21" s="18" t="s">
        <v>43</v>
      </c>
      <c r="F21" s="18" t="s">
        <v>45</v>
      </c>
      <c r="G21" s="18" t="s">
        <v>62</v>
      </c>
      <c r="H21" s="20" t="str" cm="1">
        <f t="array" ref="H21">Reverse2_6(P21)</f>
        <v>00-010102</v>
      </c>
      <c r="I21" s="20" cm="1">
        <f t="array" ref="I21">HEX2DEC(Reverse(Q21))</f>
        <v>93631153</v>
      </c>
      <c r="J21" s="20" cm="1">
        <f t="array" ref="J21">IF(R21&lt;&gt;0, HEX2DEC(Reverse(R21))-$I21,"")</f>
        <v>1</v>
      </c>
      <c r="K21" s="20" cm="1">
        <f t="array" ref="K21">IF(S21&lt;&gt;0, HEX2DEC(Reverse(S21))-$I21,"")</f>
        <v>-1</v>
      </c>
      <c r="L21" s="20" cm="1">
        <f t="array" ref="L21">IF(T21&lt;&gt;0, HEX2DEC(Reverse(T21))-$I21,"")</f>
        <v>1</v>
      </c>
      <c r="M21" s="20" cm="1">
        <f t="array" ref="M21">IF(U21&lt;&gt;0, HEX2DEC(Reverse(U21))-$I21,"")</f>
        <v>0</v>
      </c>
      <c r="N21" s="20" t="str" cm="1">
        <f t="array" ref="N21">Reverse(V21)</f>
        <v>00000100</v>
      </c>
      <c r="O21" s="6" t="s">
        <v>29</v>
      </c>
      <c r="P21" s="12">
        <v>2010100</v>
      </c>
      <c r="Q21" s="12" t="s">
        <v>31</v>
      </c>
      <c r="R21" s="12" t="s">
        <v>33</v>
      </c>
      <c r="S21" s="12" t="s">
        <v>32</v>
      </c>
      <c r="T21" s="12" t="s">
        <v>33</v>
      </c>
      <c r="U21" s="12" t="s">
        <v>31</v>
      </c>
      <c r="V21" s="12">
        <v>10000</v>
      </c>
      <c r="W21" s="12" t="s">
        <v>34</v>
      </c>
    </row>
    <row r="22" spans="1:23" x14ac:dyDescent="0.2">
      <c r="A22" s="21">
        <v>2451</v>
      </c>
      <c r="B22" s="22" t="s">
        <v>17</v>
      </c>
      <c r="C22" s="21" t="s">
        <v>2</v>
      </c>
      <c r="D22" s="21" t="s">
        <v>1</v>
      </c>
      <c r="E22" s="21" t="s">
        <v>44</v>
      </c>
      <c r="F22" s="21" t="s">
        <v>46</v>
      </c>
      <c r="G22" s="21" t="s">
        <v>63</v>
      </c>
      <c r="H22" s="23" t="str" cm="1">
        <f t="array" ref="H22">Reverse2_6(P22)</f>
        <v>00-010102</v>
      </c>
      <c r="I22" s="23" cm="1">
        <f t="array" ref="I22">HEX2DEC(Reverse(Q22))</f>
        <v>93631153</v>
      </c>
      <c r="J22" s="23" cm="1">
        <f t="array" ref="J22">IF(R22&lt;&gt;0, HEX2DEC(Reverse(R22))-$I22,"")</f>
        <v>0</v>
      </c>
      <c r="K22" s="23" cm="1">
        <f t="array" ref="K22">IF(S22&lt;&gt;0, HEX2DEC(Reverse(S22))-$I22,"")</f>
        <v>0</v>
      </c>
      <c r="L22" s="23" cm="1">
        <f t="array" ref="L22">IF(T22&lt;&gt;0, HEX2DEC(Reverse(T22))-$I22,"")</f>
        <v>1</v>
      </c>
      <c r="M22" s="23" cm="1">
        <f t="array" ref="M22">IF(U22&lt;&gt;0, HEX2DEC(Reverse(U22))-$I22,"")</f>
        <v>1</v>
      </c>
      <c r="N22" s="23" t="str" cm="1">
        <f t="array" ref="N22">Reverse(V22)</f>
        <v>00000100</v>
      </c>
      <c r="O22" s="6" t="s">
        <v>29</v>
      </c>
      <c r="P22" s="12">
        <v>2010100</v>
      </c>
      <c r="Q22" s="12" t="s">
        <v>31</v>
      </c>
      <c r="R22" s="12" t="s">
        <v>31</v>
      </c>
      <c r="S22" s="12" t="s">
        <v>31</v>
      </c>
      <c r="T22" s="12" t="s">
        <v>33</v>
      </c>
      <c r="U22" s="12" t="s">
        <v>33</v>
      </c>
      <c r="V22" s="12">
        <v>10000</v>
      </c>
      <c r="W22" s="12" t="s">
        <v>35</v>
      </c>
    </row>
    <row r="23" spans="1:23" x14ac:dyDescent="0.2">
      <c r="A23" s="24">
        <v>2452</v>
      </c>
      <c r="B23" s="25" t="s">
        <v>18</v>
      </c>
      <c r="C23" s="24" t="s">
        <v>1</v>
      </c>
      <c r="D23" s="24" t="s">
        <v>2</v>
      </c>
      <c r="E23" s="24" t="s">
        <v>43</v>
      </c>
      <c r="F23" s="24" t="s">
        <v>42</v>
      </c>
      <c r="G23" s="24" t="s">
        <v>56</v>
      </c>
      <c r="H23" s="26" t="str" cm="1">
        <f t="array" ref="H23">Reverse2_6(P23)</f>
        <v>00-010302</v>
      </c>
      <c r="I23" s="26" cm="1">
        <f t="array" ref="I23">HEX2DEC(Reverse(Q23))</f>
        <v>93631153</v>
      </c>
      <c r="J23" s="26" cm="1">
        <f t="array" ref="J23">IF(R23&lt;&gt;0, HEX2DEC(Reverse(R23))-$I23,"")</f>
        <v>1</v>
      </c>
      <c r="K23" s="26" cm="1">
        <f t="array" ref="K23">IF(S23&lt;&gt;0, HEX2DEC(Reverse(S23))-$I23,"")</f>
        <v>0</v>
      </c>
      <c r="L23" s="26" t="str" cm="1">
        <f t="array" ref="L23">IF(T23&lt;&gt;0, HEX2DEC(Reverse(T23))-$I23,"")</f>
        <v/>
      </c>
      <c r="M23" s="26" t="str" cm="1">
        <f t="array" ref="M23">IF(U23&lt;&gt;0, HEX2DEC(Reverse(U23))-$I23,"")</f>
        <v/>
      </c>
      <c r="N23" s="26"/>
      <c r="O23" s="6"/>
      <c r="P23" s="12">
        <v>2030100</v>
      </c>
      <c r="Q23" s="12" t="s">
        <v>31</v>
      </c>
      <c r="R23" s="12" t="s">
        <v>33</v>
      </c>
      <c r="S23" s="12" t="s">
        <v>31</v>
      </c>
      <c r="T23" s="12">
        <v>0</v>
      </c>
      <c r="U23" s="12">
        <v>0</v>
      </c>
      <c r="V23" s="12"/>
      <c r="W23" s="12"/>
    </row>
    <row r="24" spans="1:23" x14ac:dyDescent="0.2">
      <c r="A24" s="27">
        <v>2491</v>
      </c>
      <c r="B24" s="28" t="s">
        <v>19</v>
      </c>
      <c r="C24" s="27" t="s">
        <v>2</v>
      </c>
      <c r="D24" s="27" t="s">
        <v>1</v>
      </c>
      <c r="E24" s="27" t="s">
        <v>44</v>
      </c>
      <c r="F24" s="27" t="s">
        <v>42</v>
      </c>
      <c r="G24" s="27" t="s">
        <v>57</v>
      </c>
      <c r="H24" s="29" t="str" cm="1">
        <f t="array" ref="H24">Reverse2_6(P24)</f>
        <v>00-010202</v>
      </c>
      <c r="I24" s="29" cm="1">
        <f t="array" ref="I24">HEX2DEC(Reverse(Q24))</f>
        <v>93631153</v>
      </c>
      <c r="J24" s="29" cm="1">
        <f t="array" ref="J24">IF(R24&lt;&gt;0, HEX2DEC(Reverse(R24))-$I24,"")</f>
        <v>0</v>
      </c>
      <c r="K24" s="29" cm="1">
        <f t="array" ref="K24">IF(S24&lt;&gt;0, HEX2DEC(Reverse(S24))-$I24,"")</f>
        <v>1</v>
      </c>
      <c r="L24" s="29" t="str" cm="1">
        <f t="array" ref="L24">IF(T24&lt;&gt;0, HEX2DEC(Reverse(T24))-$I24,"")</f>
        <v/>
      </c>
      <c r="M24" s="29" cm="1">
        <f t="array" ref="M24">IF(U24&lt;&gt;0, HEX2DEC(Reverse(U24))-$I24,"")</f>
        <v>1</v>
      </c>
      <c r="N24" s="29"/>
      <c r="O24" s="6"/>
      <c r="P24" s="12">
        <v>2020100</v>
      </c>
      <c r="Q24" s="12" t="s">
        <v>31</v>
      </c>
      <c r="R24" s="12" t="s">
        <v>31</v>
      </c>
      <c r="S24" s="12" t="s">
        <v>33</v>
      </c>
      <c r="T24" s="12">
        <v>0</v>
      </c>
      <c r="U24" s="12" t="s">
        <v>33</v>
      </c>
      <c r="V24" s="12"/>
      <c r="W24" s="12"/>
    </row>
    <row r="25" spans="1:23" x14ac:dyDescent="0.2">
      <c r="A25" s="27">
        <v>2511</v>
      </c>
      <c r="B25" s="28" t="s">
        <v>20</v>
      </c>
      <c r="C25" s="27" t="s">
        <v>2</v>
      </c>
      <c r="D25" s="27" t="s">
        <v>1</v>
      </c>
      <c r="E25" s="27" t="s">
        <v>44</v>
      </c>
      <c r="F25" s="27" t="s">
        <v>42</v>
      </c>
      <c r="G25" s="27" t="s">
        <v>57</v>
      </c>
      <c r="H25" s="29" t="str" cm="1">
        <f t="array" ref="H25">Reverse2_6(P25)</f>
        <v>00-010302</v>
      </c>
      <c r="I25" s="29" cm="1">
        <f t="array" ref="I25">HEX2DEC(Reverse(Q25))</f>
        <v>93631153</v>
      </c>
      <c r="J25" s="29" cm="1">
        <f t="array" ref="J25">IF(R25&lt;&gt;0, HEX2DEC(Reverse(R25))-$I25,"")</f>
        <v>0</v>
      </c>
      <c r="K25" s="29" cm="1">
        <f t="array" ref="K25">IF(S25&lt;&gt;0, HEX2DEC(Reverse(S25))-$I25,"")</f>
        <v>1</v>
      </c>
      <c r="L25" s="29" t="str" cm="1">
        <f t="array" ref="L25">IF(T25&lt;&gt;0, HEX2DEC(Reverse(T25))-$I25,"")</f>
        <v/>
      </c>
      <c r="M25" s="29" t="str" cm="1">
        <f t="array" ref="M25">IF(U25&lt;&gt;0, HEX2DEC(Reverse(U25))-$I25,"")</f>
        <v/>
      </c>
      <c r="N25" s="29"/>
      <c r="O25" s="6"/>
      <c r="P25" s="12">
        <v>2030100</v>
      </c>
      <c r="Q25" s="12" t="s">
        <v>31</v>
      </c>
      <c r="R25" s="12" t="s">
        <v>31</v>
      </c>
      <c r="S25" s="12" t="s">
        <v>33</v>
      </c>
      <c r="T25" s="12">
        <v>0</v>
      </c>
      <c r="U25" s="12">
        <v>0</v>
      </c>
      <c r="V25" s="12"/>
      <c r="W25" s="12"/>
    </row>
  </sheetData>
  <sortState xmlns:xlrd2="http://schemas.microsoft.com/office/spreadsheetml/2017/richdata2" ref="A5:W25">
    <sortCondition descending="1" ref="Q6:Q2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2022-12-24T11:48:16Z</dcterms:created>
  <dcterms:modified xsi:type="dcterms:W3CDTF">2023-01-29T16:08:30Z</dcterms:modified>
</cp:coreProperties>
</file>